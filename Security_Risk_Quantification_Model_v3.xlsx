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TART HERE" sheetId="1" state="visible" r:id="rId3"/>
    <sheet name="Issue Intake" sheetId="2" state="visible" r:id="rId4"/>
    <sheet name="Issue Register" sheetId="3" state="visible" r:id="rId5"/>
    <sheet name="Priority Ranking" sheetId="4" state="visible" r:id="rId6"/>
    <sheet name="Risk Domain Heat Map" sheetId="5" state="visible" r:id="rId7"/>
    <sheet name="Monthly Dashboard" sheetId="6" state="visible" r:id="rId8"/>
    <sheet name="ROSI &amp; Prioritization" sheetId="7" state="visible" r:id="rId9"/>
    <sheet name="Assumptions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<sst xmlns="http://schemas.openxmlformats.org/spreadsheetml/2006/main" count="602" uniqueCount="456">
  <si>
    <t xml:space="preserve">SECURITY RISK QUANTIFICATION MODEL</t>
  </si>
  <si>
    <t xml:space="preserve">Navigation Guide — Start here. Follow the workflow left to right.</t>
  </si>
  <si>
    <t xml:space="preserve">1</t>
  </si>
  <si>
    <t xml:space="preserve">Assumptions  ·  SET ONCE</t>
  </si>
  <si>
    <t xml:space="preserve">Configure your org's financial context — revenue, insurance coverage, risk appetite threshold, and severity-to-dollar mappings. Everything else derives from these inputs.</t>
  </si>
  <si>
    <t xml:space="preserve">2</t>
  </si>
  <si>
    <t xml:space="preserve">Issue Intake  ·  WHEN NEW FINDINGS ARRIVE</t>
  </si>
  <si>
    <t xml:space="preserve">Paste raw findings from any scanner, audit, or pentest. Use the normalization guide to map to structured financial inputs. ALE, Residual ALE, and ROSI auto-calculate. Mark 'Yes' to transfer to Issue Register.</t>
  </si>
  <si>
    <t xml:space="preserve">3</t>
  </si>
  <si>
    <t xml:space="preserve">Issue Register  ·  ONGOING — SOURCE OF TRUTH</t>
  </si>
  <si>
    <t xml:space="preserve">The master log of all issues. Each row is one issue with full financial context. Update Status (Open / In Remediation / Closed) and dates as issues progress. All other tabs pull from here.</t>
  </si>
  <si>
    <t xml:space="preserve">4</t>
  </si>
  <si>
    <t xml:space="preserve">Priority Ranking  ·  WEEKLY — OPERATIONAL</t>
  </si>
  <si>
    <t xml:space="preserve">All open issues ranked by ROSI (financial return per remediation dollar). Shows Priority Tier, Days Open, and Recommended Action. Sprint Planning view surfaces your top 5 highest-return fixes.</t>
  </si>
  <si>
    <t xml:space="preserve">5</t>
  </si>
  <si>
    <t xml:space="preserve">Risk Domain Heat Map  ·  MONTHLY — ANALYTICAL</t>
  </si>
  <si>
    <t xml:space="preserve">Domain-level ALE rollup and 5×5 likelihood/impact grid. Use to identify which security domains carry the most financial exposure and where to concentrate program investment.</t>
  </si>
  <si>
    <t xml:space="preserve">6</t>
  </si>
  <si>
    <t xml:space="preserve">Monthly Dashboard  ·  MONTHLY — BOARD / EXEC</t>
  </si>
  <si>
    <t xml:space="preserve">Board and Risk Committee reporting view. Monthly pipeline table, KPI scorecard with RAG status, and pre-drafted narrative block. Portfolio ALE and ROSI KPIs update automatically.</t>
  </si>
  <si>
    <t xml:space="preserve">7</t>
  </si>
  <si>
    <t xml:space="preserve">ROSI &amp; Prioritization  ·  CALCULATION ENGINE</t>
  </si>
  <si>
    <t xml:space="preserve">Raw ROSI ranking data that feeds the Priority Ranking tab. Do not delete. Refer to Priority Ranking for the full prioritization view.</t>
  </si>
  <si>
    <t xml:space="preserve">Workflow: Assumptions → Issue Intake → Issue Register → Priority Ranking → Heat Map → Monthly Dashboard</t>
  </si>
  <si>
    <t xml:space="preserve">SECURITY ISSUE INTAKE — RAW FINDING NORMALIZER</t>
  </si>
  <si>
    <t xml:space="preserve">Paste raw findings from any scanner, audit, or manual review. Map each to structured financial inputs. Blue cells = your inputs. Black cells = auto-calculated. Use Issue ID to link to Issue Register.</t>
  </si>
  <si>
    <t xml:space="preserve">A.  NORMALIZATION REFERENCE — Mapping Raw Finding Language to Structured Inputs</t>
  </si>
  <si>
    <t xml:space="preserve">Raw Finding Type</t>
  </si>
  <si>
    <t xml:space="preserve">Example Language</t>
  </si>
  <si>
    <t xml:space="preserve">Risk Domain</t>
  </si>
  <si>
    <t xml:space="preserve">Suggested Severity</t>
  </si>
  <si>
    <t xml:space="preserve">Typical Threat Frequency (annual)</t>
  </si>
  <si>
    <t xml:space="preserve">Typical Vulnerability Prob.</t>
  </si>
  <si>
    <t xml:space="preserve">Calibration Note</t>
  </si>
  <si>
    <t xml:space="preserve">Vulnerability Scanner
(Nessus/Qualys/Tenable)</t>
  </si>
  <si>
    <t xml:space="preserve">Critical: Remote code execution CVE-2024-XXXXX on internet-facing host</t>
  </si>
  <si>
    <t xml:space="preserve">Infrastructure</t>
  </si>
  <si>
    <t xml:space="preserve">Critical</t>
  </si>
  <si>
    <t xml:space="preserve">0.7 – 0.9
(internet-facing)</t>
  </si>
  <si>
    <t xml:space="preserve">0.8 – 0.95</t>
  </si>
  <si>
    <t xml:space="preserve">Use CVSS exploitability score as proxy for Vuln Prob. EPSS score if available.</t>
  </si>
  <si>
    <t xml:space="preserve">Cloud Posture
(CSPM / Security Hub)</t>
  </si>
  <si>
    <t xml:space="preserve">S3 bucket with public access enabled, contains PII</t>
  </si>
  <si>
    <t xml:space="preserve">Data Protection</t>
  </si>
  <si>
    <t xml:space="preserve">High</t>
  </si>
  <si>
    <t xml:space="preserve">0.5 – 0.7
(opportunistic scan)</t>
  </si>
  <si>
    <t xml:space="preserve">0.6 – 0.8</t>
  </si>
  <si>
    <t xml:space="preserve">Frequency = likelihood of opportunistic attacker finding misconfiguration. Loss magnitude = data classification × records exposed.</t>
  </si>
  <si>
    <t xml:space="preserve">Identity Audit
(IAM / AD Review)</t>
  </si>
  <si>
    <t xml:space="preserve">Privileged accounts without MFA — 47 accounts</t>
  </si>
  <si>
    <t xml:space="preserve">Identity &amp; Access</t>
  </si>
  <si>
    <t xml:space="preserve">0.6 – 0.8
(credential attacks)</t>
  </si>
  <si>
    <t xml:space="preserve">0.7 – 0.85</t>
  </si>
  <si>
    <t xml:space="preserve">Scale ALE by account count × avg privilege level. Admin accounts 3–5× standard user ALE.</t>
  </si>
  <si>
    <t xml:space="preserve">Penetration Test
(Manual)</t>
  </si>
  <si>
    <t xml:space="preserve">SQL injection in authenticated customer portal — High severity</t>
  </si>
  <si>
    <t xml:space="preserve">Application</t>
  </si>
  <si>
    <t xml:space="preserve">0.3 – 0.6
(targeted attack)</t>
  </si>
  <si>
    <t xml:space="preserve">0.7 – 0.9</t>
  </si>
  <si>
    <t xml:space="preserve">Pentest findings = confirmed vulnerability. Set Vuln Prob at high end. Loss magnitude includes breach notification, regulatory fines.</t>
  </si>
  <si>
    <t xml:space="preserve">Compliance / Audit
(SOC 2 / ISO gap)</t>
  </si>
  <si>
    <t xml:space="preserve">No formal vendor risk assessment process — control gap</t>
  </si>
  <si>
    <t xml:space="preserve">Third-Party Risk</t>
  </si>
  <si>
    <t xml:space="preserve">Medium</t>
  </si>
  <si>
    <t xml:space="preserve">0.2 – 0.4
(indirect via vendor)</t>
  </si>
  <si>
    <t xml:space="preserve">0.4 – 0.6</t>
  </si>
  <si>
    <t xml:space="preserve">Compliance gaps = process risk, not technical exploit. Use conservative frequency. Loss = regulatory exposure + audit finding cost.</t>
  </si>
  <si>
    <t xml:space="preserve">SIEM / Detection
(Alert / Anomaly)</t>
  </si>
  <si>
    <t xml:space="preserve">30 endpoints not sending logs to SIEM — detection blind spot</t>
  </si>
  <si>
    <t xml:space="preserve">Detection &amp; Response</t>
  </si>
  <si>
    <t xml:space="preserve">Medium–High</t>
  </si>
  <si>
    <t xml:space="preserve">0.3 – 0.5
(incident going undetected)</t>
  </si>
  <si>
    <t xml:space="preserve">0.5 – 0.7</t>
  </si>
  <si>
    <t xml:space="preserve">Model as: detection failure increases dwell time, which increases loss magnitude. Add dwell-time multiplier to base financial impact.</t>
  </si>
  <si>
    <t xml:space="preserve">Patch Management
(Patch Gap)</t>
  </si>
  <si>
    <t xml:space="preserve">Windows Server — critical patch 45 days overdue (CVE-2024-38124)</t>
  </si>
  <si>
    <t xml:space="preserve">0.6 – 0.85
(known exploit in wild)</t>
  </si>
  <si>
    <t xml:space="preserve">0.85 – 0.95</t>
  </si>
  <si>
    <t xml:space="preserve">Check CISA KEV list for active exploitation. If on KEV, set frequency at 0.85+. Days-exposed increases Vuln Prob over time.</t>
  </si>
  <si>
    <t xml:space="preserve">B.  ISSUE INTAKE FORM — Enter Raw Findings Below (one row per issue)</t>
  </si>
  <si>
    <t xml:space="preserve">Issue ID
(auto or manual)</t>
  </si>
  <si>
    <t xml:space="preserve">Raw Finding Text
(paste as-is from scanner/audit)</t>
  </si>
  <si>
    <t xml:space="preserve">Source Tool /
Scanner</t>
  </si>
  <si>
    <t xml:space="preserve">Date Found</t>
  </si>
  <si>
    <t xml:space="preserve">Proposed
Risk Domain</t>
  </si>
  <si>
    <t xml:space="preserve">Proposed
Severity (C/H/M/L)</t>
  </si>
  <si>
    <t xml:space="preserve">Asset Value
at Risk ($)</t>
  </si>
  <si>
    <t xml:space="preserve">Threat Freq.
(annual, 0–1)</t>
  </si>
  <si>
    <t xml:space="preserve">Vulnerability
Prob. (0–1)</t>
  </si>
  <si>
    <t xml:space="preserve">Existing
Control Factor
(0=none, 1=full)</t>
  </si>
  <si>
    <t xml:space="preserve">Est. Remediation
Cost ($)</t>
  </si>
  <si>
    <t xml:space="preserve">ALE ($)
[auto]</t>
  </si>
  <si>
    <t xml:space="preserve">Residual ALE ($)
[auto]</t>
  </si>
  <si>
    <t xml:space="preserve">ROSI
[auto]</t>
  </si>
  <si>
    <t xml:space="preserve">Priority
Score [auto]</t>
  </si>
  <si>
    <t xml:space="preserve">Transfer to
Issue Register?</t>
  </si>
  <si>
    <t xml:space="preserve">TOTALS</t>
  </si>
  <si>
    <t xml:space="preserve">C.  CALIBRATION TIPS — How to Set Threat Frequency and Vulnerability Probability from Real Data</t>
  </si>
  <si>
    <t xml:space="preserve">Threat Frequency</t>
  </si>
  <si>
    <t xml:space="preserve">SIEM data: count credential-based alert events over 90 days → annualize. Verizon DBIR: industry-specific breach frequency rates. CISA KEV: if CVE is on KEV list, set frequency ≥ 0.7.</t>
  </si>
  <si>
    <t xml:space="preserve">Vulnerability Probability</t>
  </si>
  <si>
    <t xml:space="preserve">CVSS exploitability sub-score ÷ 10 as starting point. EPSS score (empirical probability of exploitation within 30 days) × 12 for annual. Pentest finding = confirmed → set 0.8+. Scanner finding = potential → set 0.4–0.6.</t>
  </si>
  <si>
    <t xml:space="preserve">Asset Value at Risk</t>
  </si>
  <si>
    <t xml:space="preserve">Revenue at risk per system: Annual Revenue ÷ 8,760 hrs × Max Downtime hrs. Data breach cost: records × avg cost per record ($150–$250 per Ponemon). Regulatory fine exposure: GDPR up to 4% global revenue; HIPAA up to $1.9M per violation category.</t>
  </si>
  <si>
    <t xml:space="preserve">Control Effectiveness Factor</t>
  </si>
  <si>
    <t xml:space="preserve">0.0 = No controls in place (full ALE). 0.25 = Strong compensating controls (residual 25% of raw ALE). 0.5 = Partial controls. 0.75 = Minimal controls. Source: NIST SP 800-53 control effectiveness ratings; CIS Control implementation groups.</t>
  </si>
  <si>
    <t xml:space="preserve">SECURITY ISSUE REGISTER — RISK QUANTIFICATION</t>
  </si>
  <si>
    <t xml:space="preserve">Source of truth for all security issues. Each row is one issue. Blue = input. Black = calculated. Update status/dates as issues progress.</t>
  </si>
  <si>
    <t xml:space="preserve">Issue ID</t>
  </si>
  <si>
    <t xml:space="preserve">Issue Description</t>
  </si>
  <si>
    <t xml:space="preserve">Source / Scanner</t>
  </si>
  <si>
    <t xml:space="preserve">Date Ingested</t>
  </si>
  <si>
    <t xml:space="preserve">Target Remediation Date</t>
  </si>
  <si>
    <t xml:space="preserve">Date Closed</t>
  </si>
  <si>
    <t xml:space="preserve">Status</t>
  </si>
  <si>
    <t xml:space="preserve">Raw Severity
(C/H/M/L)</t>
  </si>
  <si>
    <t xml:space="preserve">Numeric
Severity Score</t>
  </si>
  <si>
    <t xml:space="preserve">Likelihood
Score</t>
  </si>
  <si>
    <t xml:space="preserve">Control
Effective. Factor</t>
  </si>
  <si>
    <t xml:space="preserve">Risk Score
(Calculated)</t>
  </si>
  <si>
    <t xml:space="preserve">Residual
Risk Score</t>
  </si>
  <si>
    <t xml:space="preserve">Base Financial
Impact ($)</t>
  </si>
  <si>
    <t xml:space="preserve">Probability
of Exploit</t>
  </si>
  <si>
    <t xml:space="preserve">ALE ($)
(Annual)</t>
  </si>
  <si>
    <t xml:space="preserve">Remediation
Cost ($)</t>
  </si>
  <si>
    <t xml:space="preserve">ROSI</t>
  </si>
  <si>
    <t xml:space="preserve">SEC-001</t>
  </si>
  <si>
    <t xml:space="preserve">Unpatched critical RCE in internet-facing web app</t>
  </si>
  <si>
    <t xml:space="preserve">Tenable / Nessus</t>
  </si>
  <si>
    <t xml:space="preserve">2024-10-03</t>
  </si>
  <si>
    <t xml:space="preserve">2024-10-17</t>
  </si>
  <si>
    <t xml:space="preserve">Open</t>
  </si>
  <si>
    <t xml:space="preserve">SEC-002</t>
  </si>
  <si>
    <t xml:space="preserve">Default credentials on network device (firewall)</t>
  </si>
  <si>
    <t xml:space="preserve">Manual Pentest</t>
  </si>
  <si>
    <t xml:space="preserve">2024-10-05</t>
  </si>
  <si>
    <t xml:space="preserve">2024-10-12</t>
  </si>
  <si>
    <t xml:space="preserve">2024-10-15</t>
  </si>
  <si>
    <t xml:space="preserve">Closed</t>
  </si>
  <si>
    <t xml:space="preserve">Network</t>
  </si>
  <si>
    <t xml:space="preserve">SEC-003</t>
  </si>
  <si>
    <t xml:space="preserve">Sensitive PII stored unencrypted in S3 bucket</t>
  </si>
  <si>
    <t xml:space="preserve">Cloud Security Posture</t>
  </si>
  <si>
    <t xml:space="preserve">2024-10-08</t>
  </si>
  <si>
    <t xml:space="preserve">2024-10-31</t>
  </si>
  <si>
    <t xml:space="preserve">SEC-004</t>
  </si>
  <si>
    <t xml:space="preserve">MFA not enforced for privileged admin accounts</t>
  </si>
  <si>
    <t xml:space="preserve">Identity Audit</t>
  </si>
  <si>
    <t xml:space="preserve">2024-10-10</t>
  </si>
  <si>
    <t xml:space="preserve">2024-10-24</t>
  </si>
  <si>
    <t xml:space="preserve">2024-10-28</t>
  </si>
  <si>
    <t xml:space="preserve">SEC-005</t>
  </si>
  <si>
    <t xml:space="preserve">Outdated TLS 1.0 on internal API gateway</t>
  </si>
  <si>
    <t xml:space="preserve">Qualys</t>
  </si>
  <si>
    <t xml:space="preserve">2024-11-15</t>
  </si>
  <si>
    <t xml:space="preserve">SEC-006</t>
  </si>
  <si>
    <t xml:space="preserve">SQL injection vulnerability in customer portal</t>
  </si>
  <si>
    <t xml:space="preserve">DAST / Burp</t>
  </si>
  <si>
    <t xml:space="preserve">2024-10-29</t>
  </si>
  <si>
    <t xml:space="preserve">In Remediation</t>
  </si>
  <si>
    <t xml:space="preserve">SEC-007</t>
  </si>
  <si>
    <t xml:space="preserve">Missing security headers on marketing website</t>
  </si>
  <si>
    <t xml:space="preserve">Web Scan</t>
  </si>
  <si>
    <t xml:space="preserve">2024-10-18</t>
  </si>
  <si>
    <t xml:space="preserve">2024-11-30</t>
  </si>
  <si>
    <t xml:space="preserve">Low</t>
  </si>
  <si>
    <t xml:space="preserve">SEC-008</t>
  </si>
  <si>
    <t xml:space="preserve">Endpoint without EDR agent (30 devices)</t>
  </si>
  <si>
    <t xml:space="preserve">SIEM / Asset Inv.</t>
  </si>
  <si>
    <t xml:space="preserve">2024-10-20</t>
  </si>
  <si>
    <t xml:space="preserve">2024-11-08</t>
  </si>
  <si>
    <t xml:space="preserve">Endpoint</t>
  </si>
  <si>
    <t xml:space="preserve">SEC-009</t>
  </si>
  <si>
    <t xml:space="preserve">Stale privileged accounts (90+ days inactive)</t>
  </si>
  <si>
    <t xml:space="preserve">AD Audit</t>
  </si>
  <si>
    <t xml:space="preserve">2024-10-22</t>
  </si>
  <si>
    <t xml:space="preserve">2024-11-01</t>
  </si>
  <si>
    <t xml:space="preserve">2024-11-05</t>
  </si>
  <si>
    <t xml:space="preserve">SEC-010</t>
  </si>
  <si>
    <t xml:space="preserve">Insecure direct object reference in HR app</t>
  </si>
  <si>
    <t xml:space="preserve">Code Review</t>
  </si>
  <si>
    <t xml:space="preserve">2024-10-25</t>
  </si>
  <si>
    <t xml:space="preserve">2024-11-20</t>
  </si>
  <si>
    <t xml:space="preserve">SEC-011</t>
  </si>
  <si>
    <t xml:space="preserve">Log ingestion gaps — 3 critical systems not in SIEM</t>
  </si>
  <si>
    <t xml:space="preserve">SIEM Review</t>
  </si>
  <si>
    <t xml:space="preserve">2024-11-22</t>
  </si>
  <si>
    <t xml:space="preserve">SEC-012</t>
  </si>
  <si>
    <t xml:space="preserve">Third-party vendor with excessive data access</t>
  </si>
  <si>
    <t xml:space="preserve">Vendor Assessment</t>
  </si>
  <si>
    <t xml:space="preserve">2024-11-04</t>
  </si>
  <si>
    <t xml:space="preserve">SEC-013</t>
  </si>
  <si>
    <t xml:space="preserve">Missing patch — Windows Server 2019 (CVE-2024-38124)</t>
  </si>
  <si>
    <t xml:space="preserve">Patch Mgmt</t>
  </si>
  <si>
    <t xml:space="preserve">2024-11-06</t>
  </si>
  <si>
    <t xml:space="preserve">2024-11-13</t>
  </si>
  <si>
    <t xml:space="preserve">2024-11-12</t>
  </si>
  <si>
    <t xml:space="preserve">SEC-014</t>
  </si>
  <si>
    <t xml:space="preserve">DLP not configured for outbound email</t>
  </si>
  <si>
    <t xml:space="preserve">DLP Policy Review</t>
  </si>
  <si>
    <t xml:space="preserve">2024-12-15</t>
  </si>
  <si>
    <t xml:space="preserve">SEC-015</t>
  </si>
  <si>
    <t xml:space="preserve">Container images with known HIGH CVEs in prod</t>
  </si>
  <si>
    <t xml:space="preserve">Container Scan</t>
  </si>
  <si>
    <t xml:space="preserve">2024-11-10</t>
  </si>
  <si>
    <t xml:space="preserve">2024-11-24</t>
  </si>
  <si>
    <t xml:space="preserve">TOTALS / PORTFOLIO SUMMARY</t>
  </si>
  <si>
    <t xml:space="preserve">SECURITY ISSUE PRIORITIZATION ENGINE — RANKED BY FINANCIAL IMPACT PER REMEDIATION DOLLAR</t>
  </si>
  <si>
    <t xml:space="preserve">All open issues from the Issue Register, ranked by ROSI descending. Highest-return remediations at the top. Color bands show priority tier. Use this view to build your remediation sprint plan.</t>
  </si>
  <si>
    <t xml:space="preserve">A.  PORTFOLIO SUMMARY — Current Open Issues</t>
  </si>
  <si>
    <t xml:space="preserve">Total Open Issues</t>
  </si>
  <si>
    <t xml:space="preserve">Total Portfolio ALE ($)</t>
  </si>
  <si>
    <t xml:space="preserve">Total Remediation Budget Needed ($)</t>
  </si>
  <si>
    <t xml:space="preserve">Avg ROSI (open issues)</t>
  </si>
  <si>
    <t xml:space="preserve">Issues Above Risk Appetite</t>
  </si>
  <si>
    <t xml:space="preserve">Est. ALE Reduction if Top 5 Fixed</t>
  </si>
  <si>
    <t xml:space="preserve">B.  PRIORITY TIER LEGEND</t>
  </si>
  <si>
    <t xml:space="preserve">Tier</t>
  </si>
  <si>
    <t xml:space="preserve">Color Code</t>
  </si>
  <si>
    <t xml:space="preserve">ROSI / ALE Threshold</t>
  </si>
  <si>
    <t xml:space="preserve">Recommended Action</t>
  </si>
  <si>
    <t xml:space="preserve">TIER 1 — IMMEDIATE</t>
  </si>
  <si>
    <t xml:space="preserve">●</t>
  </si>
  <si>
    <t xml:space="preserve">ROSI &gt; 20x OR ALE &gt; $2M</t>
  </si>
  <si>
    <t xml:space="preserve">Fix within 7 days. No budget conversation needed.</t>
  </si>
  <si>
    <t xml:space="preserve">TIER 2 — HIGH PRIORITY</t>
  </si>
  <si>
    <t xml:space="preserve">ROSI 10x–20x OR ALE $500K–$2M</t>
  </si>
  <si>
    <t xml:space="preserve">Fix within 30 days. Include in next sprint.</t>
  </si>
  <si>
    <t xml:space="preserve">TIER 3 — STANDARD</t>
  </si>
  <si>
    <t xml:space="preserve">ROSI 3x–10x OR ALE $100K–$500K</t>
  </si>
  <si>
    <t xml:space="preserve">Fix within 90 days. Schedule in roadmap.</t>
  </si>
  <si>
    <t xml:space="preserve">TIER 4 — MONITOR</t>
  </si>
  <si>
    <t xml:space="preserve">ROSI 1x–3x OR ALE &lt; $100K</t>
  </si>
  <si>
    <t xml:space="preserve">Fix when capacity allows. Consider risk acceptance.</t>
  </si>
  <si>
    <t xml:space="preserve">TIER 5 — DEPRIORITIZE</t>
  </si>
  <si>
    <t xml:space="preserve">ROSI &lt; 1x</t>
  </si>
  <si>
    <t xml:space="preserve">Cost exceeds benefit. Formally accept or transfer risk.</t>
  </si>
  <si>
    <t xml:space="preserve">C.  RANKED REMEDIATION BACKLOG — All Open Issues Sorted by Financial Priority</t>
  </si>
  <si>
    <t xml:space="preserve">Priority
Rank</t>
  </si>
  <si>
    <t xml:space="preserve">Description</t>
  </si>
  <si>
    <t xml:space="preserve">Severity</t>
  </si>
  <si>
    <t xml:space="preserve">ALE ($)</t>
  </si>
  <si>
    <t xml:space="preserve">Risk
Reduction %</t>
  </si>
  <si>
    <t xml:space="preserve">Financial
Benefit ($)</t>
  </si>
  <si>
    <t xml:space="preserve">Priority Tier</t>
  </si>
  <si>
    <t xml:space="preserve">Days
Open</t>
  </si>
  <si>
    <t xml:space="preserve">Recommended
Action</t>
  </si>
  <si>
    <t xml:space="preserve">TOTALS (open issues only)</t>
  </si>
  <si>
    <t xml:space="preserve">D.  SPRINT PLANNING VIEW — Top 5 Issues by Financial Priority</t>
  </si>
  <si>
    <t xml:space="preserve">Sprint Rank</t>
  </si>
  <si>
    <t xml:space="preserve">Rem. Cost ($)</t>
  </si>
  <si>
    <t xml:space="preserve">Financial Benefit ($)</t>
  </si>
  <si>
    <t xml:space="preserve">Owner (assign)</t>
  </si>
  <si>
    <t xml:space="preserve">Target Date</t>
  </si>
  <si>
    <t xml:space="preserve">Notes</t>
  </si>
  <si>
    <t xml:space="preserve">RISK DOMAIN HEAT MAP — ISSUE DISTRIBUTION &amp; FINANCIAL EXPOSURE</t>
  </si>
  <si>
    <t xml:space="preserve">ℹ  Domain counts and ALE totals update automatically as issues are added to the Issue Register. RAG status is a manual judgment — update when domain posture changes.</t>
  </si>
  <si>
    <t xml:space="preserve">Total Issues</t>
  </si>
  <si>
    <t xml:space="preserve">Total ALE ($)</t>
  </si>
  <si>
    <t xml:space="preserve">Avg Risk Score</t>
  </si>
  <si>
    <t xml:space="preserve">Domain RAG</t>
  </si>
  <si>
    <t xml:space="preserve">Application Security</t>
  </si>
  <si>
    <t xml:space="preserve">Red</t>
  </si>
  <si>
    <t xml:space="preserve">Amber</t>
  </si>
  <si>
    <t xml:space="preserve">Network Security</t>
  </si>
  <si>
    <t xml:space="preserve">Endpoint Security</t>
  </si>
  <si>
    <t xml:space="preserve">Green</t>
  </si>
  <si>
    <t xml:space="preserve">PORTFOLIO TOTALS</t>
  </si>
  <si>
    <t xml:space="preserve">—</t>
  </si>
  <si>
    <t xml:space="preserve">5×5 LIKELIHOOD × IMPACT HEAT MAP</t>
  </si>
  <si>
    <t xml:space="preserve">← LIKELIHOOD / IMPACT →</t>
  </si>
  <si>
    <t xml:space="preserve">Negligible
&lt;$100K</t>
  </si>
  <si>
    <t xml:space="preserve">Minor
$100K–$500K</t>
  </si>
  <si>
    <t xml:space="preserve">Moderate
$500K–$2M</t>
  </si>
  <si>
    <t xml:space="preserve">Significant
$2M–$10M</t>
  </si>
  <si>
    <t xml:space="preserve">Catastrophic
&gt;$10M</t>
  </si>
  <si>
    <t xml:space="preserve">Almost Certain
(&gt;75%)</t>
  </si>
  <si>
    <t xml:space="preserve">Likely
(50–75%)</t>
  </si>
  <si>
    <t xml:space="preserve">SEC-005,SEC-010</t>
  </si>
  <si>
    <t xml:space="preserve">Possible
(25–50%)</t>
  </si>
  <si>
    <t xml:space="preserve">SEC-008,SEC-011</t>
  </si>
  <si>
    <t xml:space="preserve">Unlikely
(10–25%)</t>
  </si>
  <si>
    <t xml:space="preserve">Rare
(&lt;10%)</t>
  </si>
  <si>
    <t xml:space="preserve">HEAT MAP LEGEND</t>
  </si>
  <si>
    <t xml:space="preserve">SECURITY RISK PROGRAM — MONTHLY EXECUTIVE DASHBOARD</t>
  </si>
  <si>
    <t xml:space="preserve">ℹ  For operational issue triage, see → Issue Intake  |  For ranked remediation backlog, see → Priority Ranking  |  Portfolio ALE and ROSI KPIs on this tab update automatically from Issue Register.</t>
  </si>
  <si>
    <t xml:space="preserve">Prepared for: Risk Committee / Board Reporting  |  Frequency: Monthly  |  Owner: CISO</t>
  </si>
  <si>
    <t xml:space="preserve">MONTHLY ISSUE PIPELINE — FINANCIAL IMPACT SUMMARY</t>
  </si>
  <si>
    <t xml:space="preserve">Month</t>
  </si>
  <si>
    <t xml:space="preserve">Issues
Ingested</t>
  </si>
  <si>
    <t xml:space="preserve">Critical /
High</t>
  </si>
  <si>
    <t xml:space="preserve">Medium /
Low</t>
  </si>
  <si>
    <t xml:space="preserve">Issues
Closed</t>
  </si>
  <si>
    <t xml:space="preserve">Remaining
Open</t>
  </si>
  <si>
    <t xml:space="preserve">New Financial
Exposure ($)</t>
  </si>
  <si>
    <t xml:space="preserve">Closed
Exposure ($)</t>
  </si>
  <si>
    <t xml:space="preserve">Net Portfolio
Exposure ($)</t>
  </si>
  <si>
    <t xml:space="preserve">Aug 2024</t>
  </si>
  <si>
    <t xml:space="preserve">Sep 2024</t>
  </si>
  <si>
    <t xml:space="preserve">Oct 2024</t>
  </si>
  <si>
    <t xml:space="preserve">Nov 2024</t>
  </si>
  <si>
    <t xml:space="preserve">Dec 2024</t>
  </si>
  <si>
    <t xml:space="preserve">Jan 2025</t>
  </si>
  <si>
    <t xml:space="preserve">6-MONTH TOTAL</t>
  </si>
  <si>
    <t xml:space="preserve">CURRENT PERIOD KPI SCORECARD (JAN 2025)</t>
  </si>
  <si>
    <t xml:space="preserve">KPI Metric</t>
  </si>
  <si>
    <t xml:space="preserve">Target</t>
  </si>
  <si>
    <t xml:space="preserve">Actual</t>
  </si>
  <si>
    <t xml:space="preserve">Variance</t>
  </si>
  <si>
    <t xml:space="preserve">RAG Status</t>
  </si>
  <si>
    <t xml:space="preserve">Financial Context</t>
  </si>
  <si>
    <t xml:space="preserve">Trend</t>
  </si>
  <si>
    <t xml:space="preserve">Threshold
(Board Alert)</t>
  </si>
  <si>
    <t xml:space="preserve">Action Required</t>
  </si>
  <si>
    <t xml:space="preserve">Mean Time to Remediate (Critical)</t>
  </si>
  <si>
    <t xml:space="preserve">&lt; 7 days</t>
  </si>
  <si>
    <t xml:space="preserve">5.2 days</t>
  </si>
  <si>
    <t xml:space="preserve">-1.8 days</t>
  </si>
  <si>
    <t xml:space="preserve">Avg ALE avoided: $4.5M</t>
  </si>
  <si>
    <t xml:space="preserve">↑ Improving</t>
  </si>
  <si>
    <t xml:space="preserve">&gt; 14 days</t>
  </si>
  <si>
    <t xml:space="preserve">None</t>
  </si>
  <si>
    <t xml:space="preserve">Mean Time to Remediate (High)</t>
  </si>
  <si>
    <t xml:space="preserve">&lt; 30 days</t>
  </si>
  <si>
    <t xml:space="preserve">34 days</t>
  </si>
  <si>
    <t xml:space="preserve">+4 days</t>
  </si>
  <si>
    <t xml:space="preserve">Avg ALE exposed: $975K</t>
  </si>
  <si>
    <t xml:space="preserve">→ Stable</t>
  </si>
  <si>
    <t xml:space="preserve">&gt; 60 days</t>
  </si>
  <si>
    <t xml:space="preserve">Escalate to CISO</t>
  </si>
  <si>
    <t xml:space="preserve">Issues Ingested (month)</t>
  </si>
  <si>
    <t xml:space="preserve">≤ 10</t>
  </si>
  <si>
    <t xml:space="preserve">14</t>
  </si>
  <si>
    <t xml:space="preserve">+4</t>
  </si>
  <si>
    <t xml:space="preserve">New ALE: $21.5M</t>
  </si>
  <si>
    <t xml:space="preserve">↓ Worsening</t>
  </si>
  <si>
    <t xml:space="preserve">&gt; 20</t>
  </si>
  <si>
    <t xml:space="preserve">Root cause review</t>
  </si>
  <si>
    <t xml:space="preserve">Critical Issues Open &gt; 7 days</t>
  </si>
  <si>
    <t xml:space="preserve">0</t>
  </si>
  <si>
    <t xml:space="preserve">+1</t>
  </si>
  <si>
    <t xml:space="preserve">ALE at risk: $4.5M</t>
  </si>
  <si>
    <t xml:space="preserve">&gt; 2</t>
  </si>
  <si>
    <t xml:space="preserve">Board notification</t>
  </si>
  <si>
    <t xml:space="preserve">% Issues Closed On-Time</t>
  </si>
  <si>
    <t xml:space="preserve">&gt; 80%</t>
  </si>
  <si>
    <t xml:space="preserve">72%</t>
  </si>
  <si>
    <t xml:space="preserve">-8%</t>
  </si>
  <si>
    <t xml:space="preserve">SLA breach risk exposure</t>
  </si>
  <si>
    <t xml:space="preserve">&lt; 50%</t>
  </si>
  <si>
    <t xml:space="preserve">SLA review</t>
  </si>
  <si>
    <t xml:space="preserve">Portfolio ALE (total open)</t>
  </si>
  <si>
    <t xml:space="preserve">&lt; $10M</t>
  </si>
  <si>
    <t xml:space="preserve">+$11.5M</t>
  </si>
  <si>
    <t xml:space="preserve">Exceeds risk appetite</t>
  </si>
  <si>
    <t xml:space="preserve">&gt; $25M</t>
  </si>
  <si>
    <t xml:space="preserve">Risk Committee brief</t>
  </si>
  <si>
    <t xml:space="preserve">ROSI (avg remediated issues)</t>
  </si>
  <si>
    <t xml:space="preserve">&gt; 3.0x</t>
  </si>
  <si>
    <t xml:space="preserve">+1.2x</t>
  </si>
  <si>
    <t xml:space="preserve">Strong control investment</t>
  </si>
  <si>
    <t xml:space="preserve">&lt; 1.5x</t>
  </si>
  <si>
    <t xml:space="preserve">3rd Party Risk Issues Open</t>
  </si>
  <si>
    <t xml:space="preserve">&lt; 3</t>
  </si>
  <si>
    <t xml:space="preserve">-2</t>
  </si>
  <si>
    <t xml:space="preserve">Vendor ALE: $975K</t>
  </si>
  <si>
    <t xml:space="preserve">&gt; 5</t>
  </si>
  <si>
    <t xml:space="preserve">BOARD / RISK COMMITTEE NARRATIVE — JANUARY 2025</t>
  </si>
  <si>
    <t xml:space="preserve">Executive Summary:</t>
  </si>
  <si>
    <t xml:space="preserve">In January 2025, the Security Risk Program ingested 14 new issues (7 Critical/High, 7 Medium/Low), closed 9 issues, and carries 21 open items. New financial exposure added this period totals $21.5M ALE. Closed issues reduced portfolio exposure by $10.2M. Net portfolio ALE stands at approximately $27.3M, exceeding our $10M risk appetite threshold — a Risk Committee discussion is required.</t>
  </si>
  <si>
    <t xml:space="preserve">Critical Items:</t>
  </si>
  <si>
    <t xml:space="preserve">1 Critical issue (SQL injection — SEC-006) remains open beyond the 7-day SLA target, with estimated ALE of $4.5M. Remediation is in progress; ETA is 10 Feb 2025. No data exfiltration has been confirmed. SEC-013 (Windows Server CVE-2024-38124) was patched ahead of schedule — ALE of $4.5M mitigated.</t>
  </si>
  <si>
    <t xml:space="preserve">Financial Impact:</t>
  </si>
  <si>
    <t xml:space="preserve">Total remediation investment this period: $242K. Estimated ALE avoided through closed issues: $10.2M. Average ROSI across remediated issues: 4.2x — indicating strong return on security investment. Residual portfolio ALE above board alert threshold ($2M) requires formal acknowledgment.</t>
  </si>
  <si>
    <t xml:space="preserve">Trend &amp; Outlook:</t>
  </si>
  <si>
    <t xml:space="preserve">Issue ingestion rate increased 56% vs. prior month, driven by a new cloud posture scan deployment. MTTR for Critical issues improved to 5.2 days (target: &lt;7 days). Mean time for High issues at 34 days warrants attention. Forecast: issue volume expected to normalize by Feb-Mar 2025 as initial cloud scan backlog clears. Recommend prioritizing High-severity identity and data protection issues.</t>
  </si>
  <si>
    <t xml:space="preserve">Recommended Actions:</t>
  </si>
  <si>
    <t xml:space="preserve">1. Risk Committee to formally accept or reject $27.3M portfolio ALE against $10M risk appetite. 2. Approve $65K remediation budget for SEC-006 SQL injection closure. 3. Request monthly update on High-severity MTTR improvement plan. 4. Note: SEC-012 (Vendor Data Access) approaching remediation deadline — vendor response pending.</t>
  </si>
  <si>
    <t xml:space="preserve">⚠  CALCULATION ENGINE — This tab is the data source for the Priority Ranking tab. Do not delete or rename. For the full prioritization view with tier classification, sprint planning, and portfolio KPIs, see → Priority Ranking</t>
  </si>
  <si>
    <t xml:space="preserve">ROSI ANALYSIS &amp; REMEDIATION PRIORITIZATION MATRIX</t>
  </si>
  <si>
    <t xml:space="preserve">REMEDIATION PRIORITIZATION — RANKED BY FINANCIAL RISK REDUCTION</t>
  </si>
  <si>
    <t xml:space="preserve">Risk Reduction
Expected</t>
  </si>
  <si>
    <t xml:space="preserve">Unpatched RCE - Web App</t>
  </si>
  <si>
    <t xml:space="preserve">#1</t>
  </si>
  <si>
    <t xml:space="preserve">SQL Injection - Customer Portal</t>
  </si>
  <si>
    <t xml:space="preserve">#2</t>
  </si>
  <si>
    <t xml:space="preserve">Vendor Excessive Data Access</t>
  </si>
  <si>
    <t xml:space="preserve">#3</t>
  </si>
  <si>
    <t xml:space="preserve">TLS 1.0 on API Gateway</t>
  </si>
  <si>
    <t xml:space="preserve">#4</t>
  </si>
  <si>
    <t xml:space="preserve">IDOR in HR Application</t>
  </si>
  <si>
    <t xml:space="preserve">#5</t>
  </si>
  <si>
    <t xml:space="preserve">Container CVEs in Production</t>
  </si>
  <si>
    <t xml:space="preserve">#6</t>
  </si>
  <si>
    <t xml:space="preserve">PII in Unencrypted S3</t>
  </si>
  <si>
    <t xml:space="preserve">#7</t>
  </si>
  <si>
    <t xml:space="preserve">SIEM Log Gaps</t>
  </si>
  <si>
    <t xml:space="preserve">#8</t>
  </si>
  <si>
    <t xml:space="preserve">Endpoints without EDR</t>
  </si>
  <si>
    <t xml:space="preserve">#9</t>
  </si>
  <si>
    <t xml:space="preserve">DLP Not Configured</t>
  </si>
  <si>
    <t xml:space="preserve">#10</t>
  </si>
  <si>
    <t xml:space="preserve">Missing Security Headers</t>
  </si>
  <si>
    <t xml:space="preserve">#11</t>
  </si>
  <si>
    <t xml:space="preserve">ROSI INTERPRETATION GUIDE &amp; INVESTMENT RECOMMENDATION</t>
  </si>
  <si>
    <t xml:space="preserve">ROSI Band</t>
  </si>
  <si>
    <t xml:space="preserve">ROSI &gt; 10x</t>
  </si>
  <si>
    <t xml:space="preserve">Exceptional — Immediate prioritization; funding should not be a barrier</t>
  </si>
  <si>
    <t xml:space="preserve">ROSI 5x–10x</t>
  </si>
  <si>
    <t xml:space="preserve">Strong — High priority; include in next sprint/quarter budget</t>
  </si>
  <si>
    <t xml:space="preserve">ROSI 2x–5x</t>
  </si>
  <si>
    <t xml:space="preserve">Good — Standard prioritization; schedule within risk appetite window</t>
  </si>
  <si>
    <t xml:space="preserve">ROSI 1x–2x</t>
  </si>
  <si>
    <t xml:space="preserve">Marginal — Evaluate vs. risk transfer (insurance) or risk acceptance</t>
  </si>
  <si>
    <t xml:space="preserve">Poor — Consider risk transfer, compensating controls, or formal acceptance</t>
  </si>
  <si>
    <t xml:space="preserve">Negative ROSI</t>
  </si>
  <si>
    <t xml:space="preserve">Remediation cost exceeds expected ALE — formally accept or transfer risk</t>
  </si>
  <si>
    <t xml:space="preserve">SECURITY RISK QUANTIFICATION MODEL — ASSUMPTIONS &amp; SCORING GUIDE</t>
  </si>
  <si>
    <t xml:space="preserve">All blue cells are user inputs. Black cells are calculated. Update assumptions to reflect your organization's risk appetite and financial context.</t>
  </si>
  <si>
    <t xml:space="preserve">A. QUALITATIVE TO QUANTITATIVE SEVERITY MAPPING</t>
  </si>
  <si>
    <t xml:space="preserve">Severity Rating</t>
  </si>
  <si>
    <t xml:space="preserve">Numeric Score</t>
  </si>
  <si>
    <t xml:space="preserve">Likelihood Score</t>
  </si>
  <si>
    <t xml:space="preserve">Risk Score Range</t>
  </si>
  <si>
    <t xml:space="preserve">Probability of Exploit (annual)</t>
  </si>
  <si>
    <t xml:space="preserve">Base Financial Impact ($)</t>
  </si>
  <si>
    <t xml:space="preserve">Impact Multiplier</t>
  </si>
  <si>
    <t xml:space="preserve">Annualized Loss Expectancy (ALE)</t>
  </si>
  <si>
    <t xml:space="preserve">9.0 – 10.0</t>
  </si>
  <si>
    <t xml:space="preserve">6.5 – 8.9</t>
  </si>
  <si>
    <t xml:space="preserve">3.5 – 6.4</t>
  </si>
  <si>
    <t xml:space="preserve">1.0 – 3.4</t>
  </si>
  <si>
    <t xml:space="preserve">B. ORGANIZATIONAL FINANCIAL CONTEXT</t>
  </si>
  <si>
    <t xml:space="preserve">Parameter</t>
  </si>
  <si>
    <t xml:space="preserve">Value ($)</t>
  </si>
  <si>
    <t xml:space="preserve">Annual Revenue ($)</t>
  </si>
  <si>
    <t xml:space="preserve">Cyber Insurance Coverage ($)</t>
  </si>
  <si>
    <t xml:space="preserve">Annual Security Budget ($)</t>
  </si>
  <si>
    <t xml:space="preserve">Max Tolerable Downtime (hrs)</t>
  </si>
  <si>
    <t xml:space="preserve">Revenue per Hour ($)</t>
  </si>
  <si>
    <t xml:space="preserve">Risk Appetite Threshold ($)</t>
  </si>
  <si>
    <t xml:space="preserve">Board Reporting Threshold ($)</t>
  </si>
  <si>
    <t xml:space="preserve">Exec Reporting Threshold ($)</t>
  </si>
  <si>
    <t xml:space="preserve">C. RISK SCORING METHODOLOGY</t>
  </si>
  <si>
    <t xml:space="preserve">Risk Score Formula:</t>
  </si>
  <si>
    <t xml:space="preserve">Severity Score × Likelihood Score × Control Effectiveness Factor</t>
  </si>
  <si>
    <t xml:space="preserve">Control Effectiveness:</t>
  </si>
  <si>
    <t xml:space="preserve">1.0 = No controls, 0.5 = Partial, 0.25 = Strong compensating controls</t>
  </si>
  <si>
    <t xml:space="preserve">Residual Risk Score:</t>
  </si>
  <si>
    <t xml:space="preserve">Risk Score × (1 − Control Effectiveness Reduction)</t>
  </si>
  <si>
    <t xml:space="preserve">Financial Impact Formula:</t>
  </si>
  <si>
    <t xml:space="preserve">Base Impact × Impact Multiplier × Probability of Exploit</t>
  </si>
  <si>
    <t xml:space="preserve">ALE (Annualized Loss Exp.):</t>
  </si>
  <si>
    <t xml:space="preserve">Financial Impact × Likelihood of occurrence in 12-month window</t>
  </si>
  <si>
    <t xml:space="preserve">ROSI Formula:</t>
  </si>
  <si>
    <t xml:space="preserve">(Risk Reduction × ALE) / Cost of Control</t>
  </si>
</sst>
</file>

<file path=xl/styles.xml><?xml version="1.0" encoding="utf-8"?>
<styleSheet xmlns="http://schemas.openxmlformats.org/spreadsheetml/2006/main">
  <numFmts count="14">
    <numFmt numFmtId="164" formatCode="General"/>
    <numFmt numFmtId="165" formatCode="\$#,##0"/>
    <numFmt numFmtId="166" formatCode="0.0\x"/>
    <numFmt numFmtId="167" formatCode="yyyy\-mm\-dd"/>
    <numFmt numFmtId="168" formatCode="0.0"/>
    <numFmt numFmtId="169" formatCode="0.00"/>
    <numFmt numFmtId="170" formatCode="\$#,##0;&quot;($&quot;#,##0\);\-"/>
    <numFmt numFmtId="171" formatCode="0.00%"/>
    <numFmt numFmtId="172" formatCode="0"/>
    <numFmt numFmtId="173" formatCode="\$#,##0"/>
    <numFmt numFmtId="174" formatCode="0%"/>
    <numFmt numFmtId="175" formatCode="0.0\x"/>
    <numFmt numFmtId="176" formatCode="General"/>
    <numFmt numFmtId="177" formatCode="0.00\x"/>
  </numFmts>
  <fonts count="51">
    <font>
      <sz val="11"/>
      <color theme="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  <charset val="1"/>
    </font>
    <font>
      <b val="true"/>
      <sz val="18"/>
      <color rgb="FFFFFFFF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20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color rgb="FF404040"/>
      <name val="Arial"/>
      <family val="0"/>
      <charset val="1"/>
    </font>
    <font>
      <i val="true"/>
      <sz val="9"/>
      <color rgb="FFFFFFFF"/>
      <name val="Arial"/>
      <family val="0"/>
      <charset val="1"/>
    </font>
    <font>
      <b val="true"/>
      <sz val="14"/>
      <color rgb="FFFFFFFF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9"/>
      <color rgb="FFFFFFFF"/>
      <name val="Arial"/>
      <family val="0"/>
      <charset val="1"/>
    </font>
    <font>
      <sz val="9"/>
      <color rgb="FF404040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70C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9"/>
      <color rgb="FF1F4E79"/>
      <name val="Arial"/>
      <family val="0"/>
      <charset val="1"/>
    </font>
    <font>
      <i val="true"/>
      <sz val="9"/>
      <color rgb="FF7F8C8D"/>
      <name val="Arial"/>
      <family val="0"/>
      <charset val="1"/>
    </font>
    <font>
      <sz val="9"/>
      <color rgb="FF000000"/>
      <name val="Arial"/>
      <family val="0"/>
      <charset val="1"/>
    </font>
    <font>
      <b val="true"/>
      <sz val="9"/>
      <color rgb="FF856404"/>
      <name val="Arial"/>
      <family val="0"/>
      <charset val="1"/>
    </font>
    <font>
      <b val="true"/>
      <sz val="9"/>
      <color rgb="FFC0392B"/>
      <name val="Arial"/>
      <family val="0"/>
      <charset val="1"/>
    </font>
    <font>
      <sz val="9"/>
      <color rgb="FF0000FF"/>
      <name val="Arial"/>
      <family val="0"/>
      <charset val="1"/>
    </font>
    <font>
      <b val="true"/>
      <sz val="9"/>
      <color rgb="FF155724"/>
      <name val="Arial"/>
      <family val="0"/>
      <charset val="1"/>
    </font>
    <font>
      <b val="true"/>
      <sz val="9"/>
      <color rgb="FFE67E22"/>
      <name val="Arial"/>
      <family val="0"/>
      <charset val="1"/>
    </font>
    <font>
      <b val="true"/>
      <sz val="9"/>
      <color rgb="FF1558AC"/>
      <name val="Arial"/>
      <family val="0"/>
      <charset val="1"/>
    </font>
    <font>
      <b val="true"/>
      <sz val="9"/>
      <color rgb="FF27AE60"/>
      <name val="Arial"/>
      <family val="0"/>
      <charset val="1"/>
    </font>
    <font>
      <b val="true"/>
      <sz val="9"/>
      <color rgb="FFF1C40F"/>
      <name val="Arial"/>
      <family val="0"/>
      <charset val="1"/>
    </font>
    <font>
      <b val="true"/>
      <sz val="9"/>
      <color rgb="FF000000"/>
      <name val="Arial"/>
      <family val="0"/>
      <charset val="1"/>
    </font>
    <font>
      <b val="true"/>
      <sz val="12"/>
      <color rgb="FF1F4E79"/>
      <name val="Arial"/>
      <family val="0"/>
      <charset val="1"/>
    </font>
    <font>
      <b val="true"/>
      <sz val="14"/>
      <color rgb="FFFF0000"/>
      <name val="Arial"/>
      <family val="0"/>
      <charset val="1"/>
    </font>
    <font>
      <b val="true"/>
      <sz val="14"/>
      <color rgb="FFFF6600"/>
      <name val="Arial"/>
      <family val="0"/>
      <charset val="1"/>
    </font>
    <font>
      <b val="true"/>
      <sz val="14"/>
      <color rgb="FFFFB800"/>
      <name val="Arial"/>
      <family val="0"/>
      <charset val="1"/>
    </font>
    <font>
      <b val="true"/>
      <sz val="14"/>
      <color rgb="FF00B050"/>
      <name val="Arial"/>
      <family val="0"/>
      <charset val="1"/>
    </font>
    <font>
      <b val="true"/>
      <sz val="14"/>
      <color rgb="FF7030A0"/>
      <name val="Arial"/>
      <family val="0"/>
      <charset val="1"/>
    </font>
    <font>
      <b val="true"/>
      <sz val="11"/>
      <color rgb="FF1F4E79"/>
      <name val="Arial"/>
      <family val="0"/>
      <charset val="1"/>
    </font>
    <font>
      <b val="true"/>
      <sz val="10"/>
      <color rgb="FF1F4E79"/>
      <name val="Arial"/>
      <family val="0"/>
      <charset val="1"/>
    </font>
    <font>
      <b val="true"/>
      <sz val="9"/>
      <name val="Arial"/>
      <family val="0"/>
      <charset val="1"/>
    </font>
    <font>
      <i val="true"/>
      <sz val="9"/>
      <color rgb="FF1F4E79"/>
      <name val="Arial"/>
      <family val="0"/>
      <charset val="1"/>
    </font>
    <font>
      <b val="true"/>
      <sz val="9"/>
      <color rgb="FF7F8C8D"/>
      <name val="Arial"/>
      <family val="0"/>
      <charset val="1"/>
    </font>
    <font>
      <b val="true"/>
      <sz val="8"/>
      <color rgb="FFFFFFFF"/>
      <name val="Arial"/>
      <family val="0"/>
      <charset val="1"/>
    </font>
    <font>
      <sz val="9"/>
      <color rgb="FF27AE60"/>
      <name val="Arial"/>
      <family val="0"/>
      <charset val="1"/>
    </font>
    <font>
      <sz val="9"/>
      <color rgb="FFC0392B"/>
      <name val="Arial"/>
      <family val="0"/>
      <charset val="1"/>
    </font>
    <font>
      <b val="true"/>
      <sz val="9"/>
      <color rgb="FF2D5FA6"/>
      <name val="Arial"/>
      <family val="0"/>
      <charset val="1"/>
    </font>
    <font>
      <b val="true"/>
      <sz val="9"/>
      <color rgb="FF7B3F00"/>
      <name val="Arial"/>
      <family val="0"/>
      <charset val="1"/>
    </font>
    <font>
      <b val="true"/>
      <sz val="10"/>
      <color rgb="FFC0392B"/>
      <name val="Arial"/>
      <family val="0"/>
      <charset val="1"/>
    </font>
    <font>
      <b val="true"/>
      <sz val="10"/>
      <color rgb="FFE67E22"/>
      <name val="Arial"/>
      <family val="0"/>
      <charset val="1"/>
    </font>
    <font>
      <b val="true"/>
      <sz val="10"/>
      <color rgb="FF27AE6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F1C40F"/>
      <name val="Arial"/>
      <family val="0"/>
      <charset val="1"/>
    </font>
  </fonts>
  <fills count="35">
    <fill>
      <patternFill patternType="none"/>
    </fill>
    <fill>
      <patternFill patternType="gray125"/>
    </fill>
    <fill>
      <patternFill patternType="solid">
        <fgColor rgb="FFFFFFFF"/>
        <bgColor rgb="FFFEF9E7"/>
      </patternFill>
    </fill>
    <fill>
      <patternFill patternType="solid">
        <fgColor rgb="FF1F4E79"/>
        <bgColor rgb="FF1558AC"/>
      </patternFill>
    </fill>
    <fill>
      <patternFill patternType="solid">
        <fgColor rgb="FFEBF3FB"/>
        <bgColor rgb="FFEBF5FB"/>
      </patternFill>
    </fill>
    <fill>
      <patternFill patternType="solid">
        <fgColor rgb="FF2E75B6"/>
        <bgColor rgb="FF2D5FA6"/>
      </patternFill>
    </fill>
    <fill>
      <patternFill patternType="solid">
        <fgColor rgb="FFF2F2F2"/>
        <bgColor rgb="FFF2F4F7"/>
      </patternFill>
    </fill>
    <fill>
      <patternFill patternType="solid">
        <fgColor rgb="FFC55A11"/>
        <bgColor rgb="FFC0392B"/>
      </patternFill>
    </fill>
    <fill>
      <patternFill patternType="solid">
        <fgColor rgb="FF375623"/>
        <bgColor rgb="FF155724"/>
      </patternFill>
    </fill>
    <fill>
      <patternFill patternType="solid">
        <fgColor rgb="FF595959"/>
        <bgColor rgb="FF404040"/>
      </patternFill>
    </fill>
    <fill>
      <patternFill patternType="solid">
        <fgColor rgb="FFD6E4F0"/>
        <bgColor rgb="FFD0E8F5"/>
      </patternFill>
    </fill>
    <fill>
      <patternFill patternType="solid">
        <fgColor rgb="FFD0E8F5"/>
        <bgColor rgb="FFD6E4F0"/>
      </patternFill>
    </fill>
    <fill>
      <patternFill patternType="solid">
        <fgColor rgb="FF1A2744"/>
        <bgColor rgb="FF404040"/>
      </patternFill>
    </fill>
    <fill>
      <patternFill patternType="solid">
        <fgColor rgb="FFF2F4F7"/>
        <bgColor rgb="FFF2F2F2"/>
      </patternFill>
    </fill>
    <fill>
      <patternFill patternType="solid">
        <fgColor rgb="FF2D5FA6"/>
        <bgColor rgb="FF1558AC"/>
      </patternFill>
    </fill>
    <fill>
      <patternFill patternType="solid">
        <fgColor rgb="FFFFF9C4"/>
        <bgColor rgb="FFFDEBD0"/>
      </patternFill>
    </fill>
    <fill>
      <patternFill patternType="solid">
        <fgColor rgb="FFFADBD8"/>
        <bgColor rgb="FFFCE4D6"/>
      </patternFill>
    </fill>
    <fill>
      <patternFill patternType="solid">
        <fgColor rgb="FFEAFAF1"/>
        <bgColor rgb="FFEBF5FB"/>
      </patternFill>
    </fill>
    <fill>
      <patternFill patternType="solid">
        <fgColor rgb="FFFDEBD0"/>
        <bgColor rgb="FFFCE4D6"/>
      </patternFill>
    </fill>
    <fill>
      <patternFill patternType="solid">
        <fgColor rgb="FFE8F4FD"/>
        <bgColor rgb="FFEBF3FB"/>
      </patternFill>
    </fill>
    <fill>
      <patternFill patternType="solid">
        <fgColor rgb="FFFEF9E7"/>
        <bgColor rgb="FFFFFFFF"/>
      </patternFill>
    </fill>
    <fill>
      <patternFill patternType="solid">
        <fgColor rgb="FFBDD7EE"/>
        <bgColor rgb="FFCCCCCC"/>
      </patternFill>
    </fill>
    <fill>
      <patternFill patternType="solid">
        <fgColor rgb="FFFF0000"/>
        <bgColor rgb="FFC0392B"/>
      </patternFill>
    </fill>
    <fill>
      <patternFill patternType="solid">
        <fgColor rgb="FFFF6600"/>
        <bgColor rgb="FFE67E22"/>
      </patternFill>
    </fill>
    <fill>
      <patternFill patternType="solid">
        <fgColor rgb="FFFFB800"/>
        <bgColor rgb="FFF1C40F"/>
      </patternFill>
    </fill>
    <fill>
      <patternFill patternType="solid">
        <fgColor rgb="FF00B050"/>
        <bgColor rgb="FF27AE60"/>
      </patternFill>
    </fill>
    <fill>
      <patternFill patternType="solid">
        <fgColor rgb="FF7030A0"/>
        <bgColor rgb="FF800080"/>
      </patternFill>
    </fill>
    <fill>
      <patternFill patternType="solid">
        <fgColor rgb="FFFCE4D6"/>
        <bgColor rgb="FFFDEBD0"/>
      </patternFill>
    </fill>
    <fill>
      <patternFill patternType="solid">
        <fgColor rgb="FF27AE60"/>
        <bgColor rgb="FF00B050"/>
      </patternFill>
    </fill>
    <fill>
      <patternFill patternType="solid">
        <fgColor rgb="FFF1C40F"/>
        <bgColor rgb="FFFFB800"/>
      </patternFill>
    </fill>
    <fill>
      <patternFill patternType="solid">
        <fgColor rgb="FFE67E22"/>
        <bgColor rgb="FFFF6600"/>
      </patternFill>
    </fill>
    <fill>
      <patternFill patternType="solid">
        <fgColor rgb="FFC0392B"/>
        <bgColor rgb="FFC55A11"/>
      </patternFill>
    </fill>
    <fill>
      <patternFill patternType="solid">
        <fgColor rgb="FF7F8C8D"/>
        <bgColor rgb="FF595959"/>
      </patternFill>
    </fill>
    <fill>
      <patternFill patternType="solid">
        <fgColor rgb="FF0D7A8A"/>
        <bgColor rgb="FF0070C0"/>
      </patternFill>
    </fill>
    <fill>
      <patternFill patternType="solid">
        <fgColor rgb="FFEBF5FB"/>
        <bgColor rgb="FFEBF3FB"/>
      </patternFill>
    </fill>
  </fills>
  <borders count="5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 diagonalUp="false" diagonalDown="false">
      <left style="thin">
        <color rgb="FFBDC3C7"/>
      </left>
      <right style="thin">
        <color rgb="FFBDC3C7"/>
      </right>
      <top style="thin">
        <color rgb="FFBDC3C7"/>
      </top>
      <bottom style="thin">
        <color rgb="FFBDC3C7"/>
      </bottom>
      <diagonal/>
    </border>
    <border diagonalUp="false" diagonalDown="false">
      <left style="thin">
        <color rgb="FFBDC3C7"/>
      </left>
      <right/>
      <top style="thin">
        <color rgb="FFBDC3C7"/>
      </top>
      <bottom style="thin">
        <color rgb="FFBDC3C7"/>
      </bottom>
      <diagonal/>
    </border>
    <border diagonalUp="false" diagonalDown="false">
      <left/>
      <right/>
      <top style="thin">
        <color rgb="FFBDC3C7"/>
      </top>
      <bottom style="thin">
        <color rgb="FFBDC3C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3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8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9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4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5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7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1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5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5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11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5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5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8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1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1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1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1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0" fillId="1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20" fillId="1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1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2" fillId="1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23" fillId="1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23" fillId="1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20" fillId="1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23" fillId="1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23" fillId="1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20" fillId="1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20" fillId="1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17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0" fillId="1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20" fillId="1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4" fillId="1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23" fillId="1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23" fillId="1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20" fillId="1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23" fillId="1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23" fillId="1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20" fillId="1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20" fillId="1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5" fillId="18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19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0" fillId="19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20" fillId="19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6" fillId="19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23" fillId="19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23" fillId="19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20" fillId="19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23" fillId="19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23" fillId="19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20" fillId="19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20" fillId="19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7" fillId="1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8" fillId="2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9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12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17" fillId="1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17" fillId="12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2" fontId="30" fillId="2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30" fillId="2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30" fillId="2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2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1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2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2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2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3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2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2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5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73" fontId="20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4" fontId="20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5" fontId="37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8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20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6" fontId="36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73" fontId="20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4" fontId="20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5" fontId="37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8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20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2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2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2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73" fontId="20" fillId="2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5" fontId="20" fillId="2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3" fontId="20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5" fontId="20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9" fillId="4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9" fillId="13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72" fontId="20" fillId="1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6" fontId="20" fillId="1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3" fontId="20" fillId="1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20" fillId="1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9" fillId="2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72" fontId="20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6" fontId="20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3" fontId="20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20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2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1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2" fontId="17" fillId="1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3" fontId="17" fillId="12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17" fillId="1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2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0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41" fillId="1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1" fillId="28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1" fillId="29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1" fillId="3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1" fillId="31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32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31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3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29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28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9" fillId="4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9" fillId="1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14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23" fillId="1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2" fontId="27" fillId="1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23" fillId="1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22" fillId="13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2" fontId="23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2" fontId="27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23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22" fillId="2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2" fontId="25" fillId="1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2" fontId="22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2" fontId="22" fillId="1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3" fontId="23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3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13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2" fillId="13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0" fillId="2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3" fillId="2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3" fillId="13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75" fontId="20" fillId="1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2" fillId="2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4" fillId="13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0" fillId="0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5" fillId="27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74" fontId="23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20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27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6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9" fillId="1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4" fontId="23" fillId="1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20" fillId="1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27" fillId="1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6" fillId="1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7" fillId="1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7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8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8" fillId="1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22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22" fillId="1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14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4" fillId="1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6" fillId="1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49" fillId="1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49" fillId="1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1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4" fontId="49" fillId="1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49" fillId="16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7" fontId="49" fillId="1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15" fillId="16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47" fillId="18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49" fillId="18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49" fillId="18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18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4" fontId="49" fillId="18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49" fillId="18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7" fontId="49" fillId="18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15" fillId="18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50" fillId="2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49" fillId="2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49" fillId="2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2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4" fontId="49" fillId="2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49" fillId="2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7" fontId="49" fillId="2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15" fillId="2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48" fillId="1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49" fillId="1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49" fillId="1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1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4" fontId="49" fillId="1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49" fillId="17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7" fontId="49" fillId="1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15" fillId="17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5" fillId="13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70" fontId="49" fillId="34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2" fontId="49" fillId="34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0" fontId="15" fillId="2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44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EF9E7"/>
      <rgbColor rgb="FFFF00FF"/>
      <rgbColor rgb="FF00FFFF"/>
      <rgbColor rgb="FF800000"/>
      <rgbColor rgb="FF00B050"/>
      <rgbColor rgb="FF2D5FA6"/>
      <rgbColor rgb="FF856404"/>
      <rgbColor rgb="FF800080"/>
      <rgbColor rgb="FF0D7A8A"/>
      <rgbColor rgb="FFBDC3C7"/>
      <rgbColor rgb="FF7F8C8D"/>
      <rgbColor rgb="FFEBF3FB"/>
      <rgbColor rgb="FFC0392B"/>
      <rgbColor rgb="FFFFF9C4"/>
      <rgbColor rgb="FFEAFAF1"/>
      <rgbColor rgb="FF660066"/>
      <rgbColor rgb="FFE67E22"/>
      <rgbColor rgb="FF0070C0"/>
      <rgbColor rgb="FFBDD7EE"/>
      <rgbColor rgb="FF000080"/>
      <rgbColor rgb="FFFF00FF"/>
      <rgbColor rgb="FFF2F2F2"/>
      <rgbColor rgb="FF00FFFF"/>
      <rgbColor rgb="FF800080"/>
      <rgbColor rgb="FF800000"/>
      <rgbColor rgb="FF1558AC"/>
      <rgbColor rgb="FF0000FF"/>
      <rgbColor rgb="FF00CCFF"/>
      <rgbColor rgb="FFE8F4FD"/>
      <rgbColor rgb="FFD0E8F5"/>
      <rgbColor rgb="FFFDEBD0"/>
      <rgbColor rgb="FFCCCCCC"/>
      <rgbColor rgb="FFFCE4D6"/>
      <rgbColor rgb="FFD6E4F0"/>
      <rgbColor rgb="FFFADBD8"/>
      <rgbColor rgb="FF2E75B6"/>
      <rgbColor rgb="FFF2F4F7"/>
      <rgbColor rgb="FFEBF5FB"/>
      <rgbColor rgb="FFF1C40F"/>
      <rgbColor rgb="FFFFB800"/>
      <rgbColor rgb="FFFF6600"/>
      <rgbColor rgb="FF595959"/>
      <rgbColor rgb="FFC55A11"/>
      <rgbColor rgb="FF1A2744"/>
      <rgbColor rgb="FF27AE60"/>
      <rgbColor rgb="FF155724"/>
      <rgbColor rgb="FF375623"/>
      <rgbColor rgb="FF7B3F00"/>
      <rgbColor rgb="FF7030A0"/>
      <rgbColor rgb="FF1F4E7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33593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8"/>
    <col collapsed="false" customWidth="true" hidden="false" outlineLevel="0" max="8" min="3" style="0" width="18"/>
  </cols>
  <sheetData>
    <row r="1" customFormat="false" ht="15" hidden="false" customHeight="false" outlineLevel="0" collapsed="false">
      <c r="A1" s="2"/>
      <c r="B1" s="2"/>
    </row>
    <row r="2" customFormat="false" ht="39.75" hidden="false" customHeight="true" outlineLevel="0" collapsed="false">
      <c r="A2" s="2"/>
      <c r="B2" s="3" t="s">
        <v>0</v>
      </c>
      <c r="C2" s="3"/>
      <c r="D2" s="3"/>
      <c r="E2" s="3"/>
      <c r="F2" s="3"/>
      <c r="G2" s="3"/>
      <c r="H2" s="3"/>
    </row>
    <row r="3" customFormat="false" ht="24" hidden="false" customHeight="true" outlineLevel="0" collapsed="false">
      <c r="A3" s="2"/>
      <c r="B3" s="4" t="s">
        <v>1</v>
      </c>
      <c r="C3" s="4"/>
      <c r="D3" s="4"/>
      <c r="E3" s="4"/>
      <c r="F3" s="4"/>
      <c r="G3" s="4"/>
      <c r="H3" s="4"/>
    </row>
    <row r="4" customFormat="false" ht="12" hidden="false" customHeight="true" outlineLevel="0" collapsed="false">
      <c r="A4" s="2"/>
      <c r="B4" s="2"/>
    </row>
    <row r="5" customFormat="false" ht="13.5" hidden="false" customHeight="true" outlineLevel="0" collapsed="false">
      <c r="A5" s="2"/>
      <c r="B5" s="2"/>
    </row>
    <row r="6" customFormat="false" ht="36" hidden="false" customHeight="true" outlineLevel="0" collapsed="false">
      <c r="A6" s="2"/>
      <c r="B6" s="5" t="s">
        <v>2</v>
      </c>
      <c r="C6" s="6" t="s">
        <v>3</v>
      </c>
      <c r="D6" s="6"/>
      <c r="E6" s="6"/>
      <c r="F6" s="6"/>
      <c r="G6" s="6"/>
      <c r="H6" s="6"/>
    </row>
    <row r="7" customFormat="false" ht="51.75" hidden="false" customHeight="true" outlineLevel="0" collapsed="false">
      <c r="B7" s="5"/>
      <c r="C7" s="7" t="s">
        <v>4</v>
      </c>
      <c r="D7" s="7"/>
      <c r="E7" s="7"/>
      <c r="F7" s="7"/>
      <c r="G7" s="7"/>
      <c r="H7" s="7"/>
    </row>
    <row r="8" customFormat="false" ht="9.75" hidden="false" customHeight="true" outlineLevel="0" collapsed="false"/>
    <row r="10" customFormat="false" ht="13.5" hidden="false" customHeight="true" outlineLevel="0" collapsed="false"/>
    <row r="11" customFormat="false" ht="36" hidden="false" customHeight="true" outlineLevel="0" collapsed="false">
      <c r="B11" s="8" t="s">
        <v>5</v>
      </c>
      <c r="C11" s="9" t="s">
        <v>6</v>
      </c>
      <c r="D11" s="9"/>
      <c r="E11" s="9"/>
      <c r="F11" s="9"/>
      <c r="G11" s="9"/>
      <c r="H11" s="9"/>
    </row>
    <row r="12" customFormat="false" ht="51.75" hidden="false" customHeight="true" outlineLevel="0" collapsed="false">
      <c r="B12" s="8"/>
      <c r="C12" s="10" t="s">
        <v>7</v>
      </c>
      <c r="D12" s="10"/>
      <c r="E12" s="10"/>
      <c r="F12" s="10"/>
      <c r="G12" s="10"/>
      <c r="H12" s="10"/>
    </row>
    <row r="13" customFormat="false" ht="9.75" hidden="false" customHeight="true" outlineLevel="0" collapsed="false"/>
    <row r="15" customFormat="false" ht="13.5" hidden="false" customHeight="true" outlineLevel="0" collapsed="false"/>
    <row r="16" customFormat="false" ht="36" hidden="false" customHeight="true" outlineLevel="0" collapsed="false">
      <c r="B16" s="11" t="s">
        <v>8</v>
      </c>
      <c r="C16" s="12" t="s">
        <v>9</v>
      </c>
      <c r="D16" s="12"/>
      <c r="E16" s="12"/>
      <c r="F16" s="12"/>
      <c r="G16" s="12"/>
      <c r="H16" s="12"/>
    </row>
    <row r="17" customFormat="false" ht="51.75" hidden="false" customHeight="true" outlineLevel="0" collapsed="false">
      <c r="B17" s="11"/>
      <c r="C17" s="7" t="s">
        <v>10</v>
      </c>
      <c r="D17" s="7"/>
      <c r="E17" s="7"/>
      <c r="F17" s="7"/>
      <c r="G17" s="7"/>
      <c r="H17" s="7"/>
    </row>
    <row r="18" customFormat="false" ht="9.75" hidden="false" customHeight="true" outlineLevel="0" collapsed="false"/>
    <row r="20" customFormat="false" ht="13.5" hidden="false" customHeight="true" outlineLevel="0" collapsed="false"/>
    <row r="21" customFormat="false" ht="36" hidden="false" customHeight="true" outlineLevel="0" collapsed="false">
      <c r="B21" s="13" t="s">
        <v>11</v>
      </c>
      <c r="C21" s="14" t="s">
        <v>12</v>
      </c>
      <c r="D21" s="14"/>
      <c r="E21" s="14"/>
      <c r="F21" s="14"/>
      <c r="G21" s="14"/>
      <c r="H21" s="14"/>
    </row>
    <row r="22" customFormat="false" ht="51.75" hidden="false" customHeight="true" outlineLevel="0" collapsed="false">
      <c r="B22" s="13"/>
      <c r="C22" s="10" t="s">
        <v>13</v>
      </c>
      <c r="D22" s="10"/>
      <c r="E22" s="10"/>
      <c r="F22" s="10"/>
      <c r="G22" s="10"/>
      <c r="H22" s="10"/>
    </row>
    <row r="23" customFormat="false" ht="9.75" hidden="false" customHeight="true" outlineLevel="0" collapsed="false"/>
    <row r="25" customFormat="false" ht="13.5" hidden="false" customHeight="true" outlineLevel="0" collapsed="false"/>
    <row r="26" customFormat="false" ht="36" hidden="false" customHeight="true" outlineLevel="0" collapsed="false">
      <c r="B26" s="13" t="s">
        <v>14</v>
      </c>
      <c r="C26" s="14" t="s">
        <v>15</v>
      </c>
      <c r="D26" s="14"/>
      <c r="E26" s="14"/>
      <c r="F26" s="14"/>
      <c r="G26" s="14"/>
      <c r="H26" s="14"/>
    </row>
    <row r="27" customFormat="false" ht="51.75" hidden="false" customHeight="true" outlineLevel="0" collapsed="false">
      <c r="B27" s="13"/>
      <c r="C27" s="7" t="s">
        <v>16</v>
      </c>
      <c r="D27" s="7"/>
      <c r="E27" s="7"/>
      <c r="F27" s="7"/>
      <c r="G27" s="7"/>
      <c r="H27" s="7"/>
    </row>
    <row r="28" customFormat="false" ht="9.75" hidden="false" customHeight="true" outlineLevel="0" collapsed="false"/>
    <row r="30" customFormat="false" ht="13.5" hidden="false" customHeight="true" outlineLevel="0" collapsed="false"/>
    <row r="31" customFormat="false" ht="36" hidden="false" customHeight="true" outlineLevel="0" collapsed="false">
      <c r="B31" s="13" t="s">
        <v>17</v>
      </c>
      <c r="C31" s="14" t="s">
        <v>18</v>
      </c>
      <c r="D31" s="14"/>
      <c r="E31" s="14"/>
      <c r="F31" s="14"/>
      <c r="G31" s="14"/>
      <c r="H31" s="14"/>
    </row>
    <row r="32" customFormat="false" ht="51.75" hidden="false" customHeight="true" outlineLevel="0" collapsed="false">
      <c r="B32" s="13"/>
      <c r="C32" s="10" t="s">
        <v>19</v>
      </c>
      <c r="D32" s="10"/>
      <c r="E32" s="10"/>
      <c r="F32" s="10"/>
      <c r="G32" s="10"/>
      <c r="H32" s="10"/>
    </row>
    <row r="33" customFormat="false" ht="9.75" hidden="false" customHeight="true" outlineLevel="0" collapsed="false"/>
    <row r="35" customFormat="false" ht="13.5" hidden="false" customHeight="true" outlineLevel="0" collapsed="false"/>
    <row r="36" customFormat="false" ht="36" hidden="false" customHeight="true" outlineLevel="0" collapsed="false">
      <c r="B36" s="15" t="s">
        <v>20</v>
      </c>
      <c r="C36" s="16" t="s">
        <v>21</v>
      </c>
      <c r="D36" s="16"/>
      <c r="E36" s="16"/>
      <c r="F36" s="16"/>
      <c r="G36" s="16"/>
      <c r="H36" s="16"/>
    </row>
    <row r="37" customFormat="false" ht="51.75" hidden="false" customHeight="true" outlineLevel="0" collapsed="false">
      <c r="B37" s="15"/>
      <c r="C37" s="7" t="s">
        <v>22</v>
      </c>
      <c r="D37" s="7"/>
      <c r="E37" s="7"/>
      <c r="F37" s="7"/>
      <c r="G37" s="7"/>
      <c r="H37" s="7"/>
    </row>
    <row r="38" customFormat="false" ht="9.75" hidden="false" customHeight="true" outlineLevel="0" collapsed="false"/>
    <row r="41" customFormat="false" ht="24" hidden="false" customHeight="true" outlineLevel="0" collapsed="false">
      <c r="B41" s="17" t="s">
        <v>23</v>
      </c>
      <c r="C41" s="17"/>
      <c r="D41" s="17"/>
      <c r="E41" s="17"/>
      <c r="F41" s="17"/>
      <c r="G41" s="17"/>
      <c r="H41" s="17"/>
    </row>
  </sheetData>
  <mergeCells count="24">
    <mergeCell ref="B2:H2"/>
    <mergeCell ref="B3:H3"/>
    <mergeCell ref="B6:B7"/>
    <mergeCell ref="C6:H6"/>
    <mergeCell ref="C7:H7"/>
    <mergeCell ref="B11:B12"/>
    <mergeCell ref="C11:H11"/>
    <mergeCell ref="C12:H12"/>
    <mergeCell ref="B16:B17"/>
    <mergeCell ref="C16:H16"/>
    <mergeCell ref="C17:H17"/>
    <mergeCell ref="B21:B22"/>
    <mergeCell ref="C21:H21"/>
    <mergeCell ref="C22:H22"/>
    <mergeCell ref="B26:B27"/>
    <mergeCell ref="C26:H26"/>
    <mergeCell ref="C27:H27"/>
    <mergeCell ref="B31:B32"/>
    <mergeCell ref="C31:H31"/>
    <mergeCell ref="C32:H32"/>
    <mergeCell ref="B36:B37"/>
    <mergeCell ref="C36:H36"/>
    <mergeCell ref="C37:H37"/>
    <mergeCell ref="B41:H4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42"/>
  <sheetViews>
    <sheetView showFormulas="false" showGridLines="true" showRowColHeaders="true" showZeros="true" rightToLeft="false" tabSelected="true" showOutlineSymbols="true" defaultGridColor="true" view="normal" topLeftCell="A16" colorId="64" zoomScale="100" zoomScaleNormal="100" zoomScalePageLayoutView="100" workbookViewId="0">
      <pane xSplit="1" ySplit="0" topLeftCell="B16" activePane="topRight" state="frozen"/>
      <selection pane="topLeft" activeCell="A16" activeCellId="0" sqref="A16"/>
      <selection pane="top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38"/>
    <col collapsed="false" customWidth="true" hidden="false" outlineLevel="0" max="3" min="3" style="1" width="16"/>
    <col collapsed="false" customWidth="true" hidden="false" outlineLevel="0" max="4" min="4" style="1" width="12"/>
    <col collapsed="false" customWidth="true" hidden="false" outlineLevel="0" max="5" min="5" style="1" width="16"/>
    <col collapsed="false" customWidth="true" hidden="false" outlineLevel="0" max="7" min="6" style="1" width="14"/>
    <col collapsed="false" customWidth="true" hidden="false" outlineLevel="0" max="9" min="8" style="1" width="13"/>
    <col collapsed="false" customWidth="true" hidden="false" outlineLevel="0" max="11" min="10" style="1" width="14"/>
    <col collapsed="false" customWidth="true" hidden="false" outlineLevel="0" max="12" min="12" style="1" width="13"/>
    <col collapsed="false" customWidth="true" hidden="false" outlineLevel="0" max="13" min="13" style="1" width="14"/>
    <col collapsed="false" customWidth="true" hidden="false" outlineLevel="0" max="14" min="14" style="1" width="10"/>
    <col collapsed="false" customWidth="true" hidden="false" outlineLevel="0" max="15" min="15" style="1" width="12"/>
    <col collapsed="false" customWidth="true" hidden="false" outlineLevel="0" max="16" min="16" style="1" width="14"/>
  </cols>
  <sheetData>
    <row r="1" customFormat="false" ht="30" hidden="false" customHeight="true" outlineLevel="0" collapsed="false">
      <c r="A1" s="18" t="s">
        <v>24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</row>
    <row r="2" customFormat="false" ht="27.75" hidden="false" customHeight="true" outlineLevel="0" collapsed="false">
      <c r="A2" s="19" t="s">
        <v>25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</row>
    <row r="3" customFormat="false" ht="7.5" hidden="false" customHeight="true" outlineLevel="0" collapsed="false"/>
    <row r="4" customFormat="false" ht="21.75" hidden="false" customHeight="true" outlineLevel="0" collapsed="false">
      <c r="A4" s="20" t="s">
        <v>26</v>
      </c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</row>
    <row r="5" customFormat="false" ht="36" hidden="false" customHeight="true" outlineLevel="0" collapsed="false">
      <c r="A5" s="21" t="s">
        <v>27</v>
      </c>
      <c r="B5" s="21"/>
      <c r="C5" s="21" t="s">
        <v>28</v>
      </c>
      <c r="D5" s="21"/>
      <c r="E5" s="21" t="s">
        <v>29</v>
      </c>
      <c r="F5" s="21"/>
      <c r="G5" s="21" t="s">
        <v>30</v>
      </c>
      <c r="H5" s="21"/>
      <c r="I5" s="21" t="s">
        <v>31</v>
      </c>
      <c r="J5" s="21"/>
      <c r="K5" s="21" t="s">
        <v>32</v>
      </c>
      <c r="L5" s="21"/>
      <c r="M5" s="21" t="s">
        <v>33</v>
      </c>
      <c r="N5" s="21"/>
    </row>
    <row r="6" customFormat="false" ht="51.75" hidden="false" customHeight="true" outlineLevel="0" collapsed="false">
      <c r="A6" s="22" t="s">
        <v>34</v>
      </c>
      <c r="B6" s="22"/>
      <c r="C6" s="22" t="s">
        <v>35</v>
      </c>
      <c r="D6" s="22"/>
      <c r="E6" s="22" t="s">
        <v>36</v>
      </c>
      <c r="F6" s="22"/>
      <c r="G6" s="22" t="s">
        <v>37</v>
      </c>
      <c r="H6" s="22"/>
      <c r="I6" s="22" t="s">
        <v>38</v>
      </c>
      <c r="J6" s="22"/>
      <c r="K6" s="22" t="s">
        <v>39</v>
      </c>
      <c r="L6" s="22"/>
      <c r="M6" s="22" t="s">
        <v>40</v>
      </c>
      <c r="N6" s="22"/>
    </row>
    <row r="7" customFormat="false" ht="51.75" hidden="false" customHeight="true" outlineLevel="0" collapsed="false">
      <c r="A7" s="23" t="s">
        <v>41</v>
      </c>
      <c r="B7" s="23"/>
      <c r="C7" s="23" t="s">
        <v>42</v>
      </c>
      <c r="D7" s="23"/>
      <c r="E7" s="23" t="s">
        <v>43</v>
      </c>
      <c r="F7" s="23"/>
      <c r="G7" s="23" t="s">
        <v>44</v>
      </c>
      <c r="H7" s="23"/>
      <c r="I7" s="23" t="s">
        <v>45</v>
      </c>
      <c r="J7" s="23"/>
      <c r="K7" s="23" t="s">
        <v>46</v>
      </c>
      <c r="L7" s="23"/>
      <c r="M7" s="23" t="s">
        <v>47</v>
      </c>
      <c r="N7" s="23"/>
    </row>
    <row r="8" customFormat="false" ht="51.75" hidden="false" customHeight="true" outlineLevel="0" collapsed="false">
      <c r="A8" s="22" t="s">
        <v>48</v>
      </c>
      <c r="B8" s="22"/>
      <c r="C8" s="22" t="s">
        <v>49</v>
      </c>
      <c r="D8" s="22"/>
      <c r="E8" s="22" t="s">
        <v>50</v>
      </c>
      <c r="F8" s="22"/>
      <c r="G8" s="22" t="s">
        <v>44</v>
      </c>
      <c r="H8" s="22"/>
      <c r="I8" s="22" t="s">
        <v>51</v>
      </c>
      <c r="J8" s="22"/>
      <c r="K8" s="22" t="s">
        <v>52</v>
      </c>
      <c r="L8" s="22"/>
      <c r="M8" s="22" t="s">
        <v>53</v>
      </c>
      <c r="N8" s="22"/>
    </row>
    <row r="9" customFormat="false" ht="51.75" hidden="false" customHeight="true" outlineLevel="0" collapsed="false">
      <c r="A9" s="23" t="s">
        <v>54</v>
      </c>
      <c r="B9" s="23"/>
      <c r="C9" s="23" t="s">
        <v>55</v>
      </c>
      <c r="D9" s="23"/>
      <c r="E9" s="23" t="s">
        <v>56</v>
      </c>
      <c r="F9" s="23"/>
      <c r="G9" s="23" t="s">
        <v>37</v>
      </c>
      <c r="H9" s="23"/>
      <c r="I9" s="23" t="s">
        <v>57</v>
      </c>
      <c r="J9" s="23"/>
      <c r="K9" s="23" t="s">
        <v>58</v>
      </c>
      <c r="L9" s="23"/>
      <c r="M9" s="23" t="s">
        <v>59</v>
      </c>
      <c r="N9" s="23"/>
    </row>
    <row r="10" customFormat="false" ht="51.75" hidden="false" customHeight="true" outlineLevel="0" collapsed="false">
      <c r="A10" s="22" t="s">
        <v>60</v>
      </c>
      <c r="B10" s="22"/>
      <c r="C10" s="22" t="s">
        <v>61</v>
      </c>
      <c r="D10" s="22"/>
      <c r="E10" s="22" t="s">
        <v>62</v>
      </c>
      <c r="F10" s="22"/>
      <c r="G10" s="22" t="s">
        <v>63</v>
      </c>
      <c r="H10" s="22"/>
      <c r="I10" s="22" t="s">
        <v>64</v>
      </c>
      <c r="J10" s="22"/>
      <c r="K10" s="22" t="s">
        <v>65</v>
      </c>
      <c r="L10" s="22"/>
      <c r="M10" s="22" t="s">
        <v>66</v>
      </c>
      <c r="N10" s="22"/>
    </row>
    <row r="11" customFormat="false" ht="51.75" hidden="false" customHeight="true" outlineLevel="0" collapsed="false">
      <c r="A11" s="23" t="s">
        <v>67</v>
      </c>
      <c r="B11" s="23"/>
      <c r="C11" s="23" t="s">
        <v>68</v>
      </c>
      <c r="D11" s="23"/>
      <c r="E11" s="23" t="s">
        <v>69</v>
      </c>
      <c r="F11" s="23"/>
      <c r="G11" s="23" t="s">
        <v>70</v>
      </c>
      <c r="H11" s="23"/>
      <c r="I11" s="23" t="s">
        <v>71</v>
      </c>
      <c r="J11" s="23"/>
      <c r="K11" s="23" t="s">
        <v>72</v>
      </c>
      <c r="L11" s="23"/>
      <c r="M11" s="23" t="s">
        <v>73</v>
      </c>
      <c r="N11" s="23"/>
    </row>
    <row r="12" customFormat="false" ht="51.75" hidden="false" customHeight="true" outlineLevel="0" collapsed="false">
      <c r="A12" s="22" t="s">
        <v>74</v>
      </c>
      <c r="B12" s="22"/>
      <c r="C12" s="22" t="s">
        <v>75</v>
      </c>
      <c r="D12" s="22"/>
      <c r="E12" s="22" t="s">
        <v>36</v>
      </c>
      <c r="F12" s="22"/>
      <c r="G12" s="22" t="s">
        <v>37</v>
      </c>
      <c r="H12" s="22"/>
      <c r="I12" s="22" t="s">
        <v>76</v>
      </c>
      <c r="J12" s="22"/>
      <c r="K12" s="22" t="s">
        <v>77</v>
      </c>
      <c r="L12" s="22"/>
      <c r="M12" s="22" t="s">
        <v>78</v>
      </c>
      <c r="N12" s="22"/>
    </row>
    <row r="13" customFormat="false" ht="9.75" hidden="false" customHeight="true" outlineLevel="0" collapsed="false"/>
    <row r="14" customFormat="false" ht="21.75" hidden="false" customHeight="true" outlineLevel="0" collapsed="false">
      <c r="A14" s="24" t="s">
        <v>79</v>
      </c>
      <c r="B14" s="24"/>
      <c r="C14" s="24"/>
      <c r="D14" s="24"/>
      <c r="E14" s="24"/>
      <c r="F14" s="24"/>
      <c r="G14" s="24"/>
      <c r="H14" s="24"/>
      <c r="I14" s="24"/>
      <c r="J14" s="24"/>
      <c r="K14" s="24"/>
      <c r="L14" s="24"/>
      <c r="M14" s="24"/>
      <c r="N14" s="24"/>
      <c r="O14" s="24"/>
      <c r="P14" s="24"/>
    </row>
    <row r="15" customFormat="false" ht="43.5" hidden="false" customHeight="true" outlineLevel="0" collapsed="false">
      <c r="A15" s="25" t="s">
        <v>80</v>
      </c>
      <c r="B15" s="26" t="s">
        <v>81</v>
      </c>
      <c r="C15" s="26" t="s">
        <v>82</v>
      </c>
      <c r="D15" s="26" t="s">
        <v>83</v>
      </c>
      <c r="E15" s="26" t="s">
        <v>84</v>
      </c>
      <c r="F15" s="26" t="s">
        <v>85</v>
      </c>
      <c r="G15" s="26" t="s">
        <v>86</v>
      </c>
      <c r="H15" s="26" t="s">
        <v>87</v>
      </c>
      <c r="I15" s="26" t="s">
        <v>88</v>
      </c>
      <c r="J15" s="26" t="s">
        <v>89</v>
      </c>
      <c r="K15" s="26" t="s">
        <v>90</v>
      </c>
      <c r="L15" s="25" t="s">
        <v>91</v>
      </c>
      <c r="M15" s="25" t="s">
        <v>92</v>
      </c>
      <c r="N15" s="25" t="s">
        <v>93</v>
      </c>
      <c r="O15" s="25" t="s">
        <v>94</v>
      </c>
      <c r="P15" s="26" t="s">
        <v>95</v>
      </c>
    </row>
    <row r="16" customFormat="false" ht="37.5" hidden="false" customHeight="true" outlineLevel="0" collapsed="false">
      <c r="A16" s="27" t="str">
        <f aca="false">IF(B16&lt;&gt;"","NEW-"&amp;TEXT(1,"000"),"")</f>
        <v/>
      </c>
      <c r="B16" s="28"/>
      <c r="C16" s="28"/>
      <c r="D16" s="28"/>
      <c r="E16" s="28"/>
      <c r="F16" s="28"/>
      <c r="G16" s="28"/>
      <c r="H16" s="28"/>
      <c r="I16" s="28"/>
      <c r="J16" s="28"/>
      <c r="K16" s="28"/>
      <c r="L16" s="29" t="str">
        <f aca="false">IF(G16="","",G16*H16*I16*(1-J16))</f>
        <v/>
      </c>
      <c r="M16" s="29" t="str">
        <f aca="false">IF(L16="","",L16*(J16))</f>
        <v/>
      </c>
      <c r="N16" s="30" t="str">
        <f aca="false">IF(K16="","",IF(K16=0,"N/A",(L16-M16-K16)/K16))</f>
        <v/>
      </c>
      <c r="O16" s="29" t="str">
        <f aca="false">IF(L16="","",L16/MAX(K16,1))</f>
        <v/>
      </c>
      <c r="P16" s="28"/>
    </row>
    <row r="17" customFormat="false" ht="37.5" hidden="false" customHeight="true" outlineLevel="0" collapsed="false">
      <c r="A17" s="31" t="str">
        <f aca="false">IF(B17&lt;&gt;"","NEW-"&amp;TEXT(2,"000"),"")</f>
        <v/>
      </c>
      <c r="B17" s="32"/>
      <c r="C17" s="32"/>
      <c r="D17" s="32"/>
      <c r="E17" s="32"/>
      <c r="F17" s="32"/>
      <c r="G17" s="32"/>
      <c r="H17" s="32"/>
      <c r="I17" s="32"/>
      <c r="J17" s="32"/>
      <c r="K17" s="32"/>
      <c r="L17" s="33" t="str">
        <f aca="false">IF(G17="","",G17*H17*I17*(1-J17))</f>
        <v/>
      </c>
      <c r="M17" s="33" t="str">
        <f aca="false">IF(L17="","",L17*(J17))</f>
        <v/>
      </c>
      <c r="N17" s="34" t="str">
        <f aca="false">IF(K17="","",IF(K17=0,"N/A",(L17-M17-K17)/K17))</f>
        <v/>
      </c>
      <c r="O17" s="33" t="str">
        <f aca="false">IF(L17="","",L17/MAX(K17,1))</f>
        <v/>
      </c>
      <c r="P17" s="32"/>
    </row>
    <row r="18" customFormat="false" ht="37.5" hidden="false" customHeight="true" outlineLevel="0" collapsed="false">
      <c r="A18" s="27" t="str">
        <f aca="false">IF(B18&lt;&gt;"","NEW-"&amp;TEXT(3,"000"),"")</f>
        <v/>
      </c>
      <c r="B18" s="28"/>
      <c r="C18" s="28"/>
      <c r="D18" s="28"/>
      <c r="E18" s="28"/>
      <c r="F18" s="28"/>
      <c r="G18" s="28"/>
      <c r="H18" s="28"/>
      <c r="I18" s="28"/>
      <c r="J18" s="28"/>
      <c r="K18" s="28"/>
      <c r="L18" s="29" t="str">
        <f aca="false">IF(G18="","",G18*H18*I18*(1-J18))</f>
        <v/>
      </c>
      <c r="M18" s="29" t="str">
        <f aca="false">IF(L18="","",L18*(J18))</f>
        <v/>
      </c>
      <c r="N18" s="30" t="str">
        <f aca="false">IF(K18="","",IF(K18=0,"N/A",(L18-M18-K18)/K18))</f>
        <v/>
      </c>
      <c r="O18" s="29" t="str">
        <f aca="false">IF(L18="","",L18/MAX(K18,1))</f>
        <v/>
      </c>
      <c r="P18" s="28"/>
    </row>
    <row r="19" customFormat="false" ht="37.5" hidden="false" customHeight="true" outlineLevel="0" collapsed="false">
      <c r="A19" s="31" t="str">
        <f aca="false">IF(B19&lt;&gt;"","NEW-"&amp;TEXT(4,"000"),"")</f>
        <v/>
      </c>
      <c r="B19" s="32"/>
      <c r="C19" s="32"/>
      <c r="D19" s="32"/>
      <c r="E19" s="32"/>
      <c r="F19" s="32"/>
      <c r="G19" s="32"/>
      <c r="H19" s="32"/>
      <c r="I19" s="32"/>
      <c r="J19" s="32"/>
      <c r="K19" s="32"/>
      <c r="L19" s="33" t="str">
        <f aca="false">IF(G19="","",G19*H19*I19*(1-J19))</f>
        <v/>
      </c>
      <c r="M19" s="33" t="str">
        <f aca="false">IF(L19="","",L19*(J19))</f>
        <v/>
      </c>
      <c r="N19" s="34" t="str">
        <f aca="false">IF(K19="","",IF(K19=0,"N/A",(L19-M19-K19)/K19))</f>
        <v/>
      </c>
      <c r="O19" s="33" t="str">
        <f aca="false">IF(L19="","",L19/MAX(K19,1))</f>
        <v/>
      </c>
      <c r="P19" s="32"/>
    </row>
    <row r="20" customFormat="false" ht="37.5" hidden="false" customHeight="true" outlineLevel="0" collapsed="false">
      <c r="A20" s="27" t="str">
        <f aca="false">IF(B20&lt;&gt;"","NEW-"&amp;TEXT(5,"000"),"")</f>
        <v/>
      </c>
      <c r="B20" s="28"/>
      <c r="C20" s="28"/>
      <c r="D20" s="28"/>
      <c r="E20" s="28"/>
      <c r="F20" s="28"/>
      <c r="G20" s="28"/>
      <c r="H20" s="28"/>
      <c r="I20" s="28"/>
      <c r="J20" s="28"/>
      <c r="K20" s="28"/>
      <c r="L20" s="29" t="str">
        <f aca="false">IF(G20="","",G20*H20*I20*(1-J20))</f>
        <v/>
      </c>
      <c r="M20" s="29" t="str">
        <f aca="false">IF(L20="","",L20*(J20))</f>
        <v/>
      </c>
      <c r="N20" s="30" t="str">
        <f aca="false">IF(K20="","",IF(K20=0,"N/A",(L20-M20-K20)/K20))</f>
        <v/>
      </c>
      <c r="O20" s="29" t="str">
        <f aca="false">IF(L20="","",L20/MAX(K20,1))</f>
        <v/>
      </c>
      <c r="P20" s="28"/>
    </row>
    <row r="21" customFormat="false" ht="37.5" hidden="false" customHeight="true" outlineLevel="0" collapsed="false">
      <c r="A21" s="31" t="str">
        <f aca="false">IF(B21&lt;&gt;"","NEW-"&amp;TEXT(6,"000"),"")</f>
        <v/>
      </c>
      <c r="B21" s="32"/>
      <c r="C21" s="32"/>
      <c r="D21" s="32"/>
      <c r="E21" s="32"/>
      <c r="F21" s="32"/>
      <c r="G21" s="32"/>
      <c r="H21" s="32"/>
      <c r="I21" s="32"/>
      <c r="J21" s="32"/>
      <c r="K21" s="32"/>
      <c r="L21" s="33" t="str">
        <f aca="false">IF(G21="","",G21*H21*I21*(1-J21))</f>
        <v/>
      </c>
      <c r="M21" s="33" t="str">
        <f aca="false">IF(L21="","",L21*(J21))</f>
        <v/>
      </c>
      <c r="N21" s="34" t="str">
        <f aca="false">IF(K21="","",IF(K21=0,"N/A",(L21-M21-K21)/K21))</f>
        <v/>
      </c>
      <c r="O21" s="33" t="str">
        <f aca="false">IF(L21="","",L21/MAX(K21,1))</f>
        <v/>
      </c>
      <c r="P21" s="32"/>
    </row>
    <row r="22" customFormat="false" ht="37.5" hidden="false" customHeight="true" outlineLevel="0" collapsed="false">
      <c r="A22" s="27" t="str">
        <f aca="false">IF(B22&lt;&gt;"","NEW-"&amp;TEXT(7,"000"),"")</f>
        <v/>
      </c>
      <c r="B22" s="28"/>
      <c r="C22" s="28"/>
      <c r="D22" s="28"/>
      <c r="E22" s="28"/>
      <c r="F22" s="28"/>
      <c r="G22" s="28"/>
      <c r="H22" s="28"/>
      <c r="I22" s="28"/>
      <c r="J22" s="28"/>
      <c r="K22" s="28"/>
      <c r="L22" s="29" t="str">
        <f aca="false">IF(G22="","",G22*H22*I22*(1-J22))</f>
        <v/>
      </c>
      <c r="M22" s="29" t="str">
        <f aca="false">IF(L22="","",L22*(J22))</f>
        <v/>
      </c>
      <c r="N22" s="30" t="str">
        <f aca="false">IF(K22="","",IF(K22=0,"N/A",(L22-M22-K22)/K22))</f>
        <v/>
      </c>
      <c r="O22" s="29" t="str">
        <f aca="false">IF(L22="","",L22/MAX(K22,1))</f>
        <v/>
      </c>
      <c r="P22" s="28"/>
    </row>
    <row r="23" customFormat="false" ht="37.5" hidden="false" customHeight="true" outlineLevel="0" collapsed="false">
      <c r="A23" s="31" t="str">
        <f aca="false">IF(B23&lt;&gt;"","NEW-"&amp;TEXT(8,"000"),"")</f>
        <v/>
      </c>
      <c r="B23" s="32"/>
      <c r="C23" s="32"/>
      <c r="D23" s="32"/>
      <c r="E23" s="32"/>
      <c r="F23" s="32"/>
      <c r="G23" s="32"/>
      <c r="H23" s="32"/>
      <c r="I23" s="32"/>
      <c r="J23" s="32"/>
      <c r="K23" s="32"/>
      <c r="L23" s="33" t="str">
        <f aca="false">IF(G23="","",G23*H23*I23*(1-J23))</f>
        <v/>
      </c>
      <c r="M23" s="33" t="str">
        <f aca="false">IF(L23="","",L23*(J23))</f>
        <v/>
      </c>
      <c r="N23" s="34" t="str">
        <f aca="false">IF(K23="","",IF(K23=0,"N/A",(L23-M23-K23)/K23))</f>
        <v/>
      </c>
      <c r="O23" s="33" t="str">
        <f aca="false">IF(L23="","",L23/MAX(K23,1))</f>
        <v/>
      </c>
      <c r="P23" s="32"/>
    </row>
    <row r="24" customFormat="false" ht="37.5" hidden="false" customHeight="true" outlineLevel="0" collapsed="false">
      <c r="A24" s="27" t="str">
        <f aca="false">IF(B24&lt;&gt;"","NEW-"&amp;TEXT(9,"000"),"")</f>
        <v/>
      </c>
      <c r="B24" s="28"/>
      <c r="C24" s="28"/>
      <c r="D24" s="28"/>
      <c r="E24" s="28"/>
      <c r="F24" s="28"/>
      <c r="G24" s="28"/>
      <c r="H24" s="28"/>
      <c r="I24" s="28"/>
      <c r="J24" s="28"/>
      <c r="K24" s="28"/>
      <c r="L24" s="29" t="str">
        <f aca="false">IF(G24="","",G24*H24*I24*(1-J24))</f>
        <v/>
      </c>
      <c r="M24" s="29" t="str">
        <f aca="false">IF(L24="","",L24*(J24))</f>
        <v/>
      </c>
      <c r="N24" s="30" t="str">
        <f aca="false">IF(K24="","",IF(K24=0,"N/A",(L24-M24-K24)/K24))</f>
        <v/>
      </c>
      <c r="O24" s="29" t="str">
        <f aca="false">IF(L24="","",L24/MAX(K24,1))</f>
        <v/>
      </c>
      <c r="P24" s="28"/>
    </row>
    <row r="25" customFormat="false" ht="37.5" hidden="false" customHeight="true" outlineLevel="0" collapsed="false">
      <c r="A25" s="31" t="str">
        <f aca="false">IF(B25&lt;&gt;"","NEW-"&amp;TEXT(10,"000"),"")</f>
        <v/>
      </c>
      <c r="B25" s="32"/>
      <c r="C25" s="32"/>
      <c r="D25" s="32"/>
      <c r="E25" s="32"/>
      <c r="F25" s="32"/>
      <c r="G25" s="32"/>
      <c r="H25" s="32"/>
      <c r="I25" s="32"/>
      <c r="J25" s="32"/>
      <c r="K25" s="32"/>
      <c r="L25" s="33" t="str">
        <f aca="false">IF(G25="","",G25*H25*I25*(1-J25))</f>
        <v/>
      </c>
      <c r="M25" s="33" t="str">
        <f aca="false">IF(L25="","",L25*(J25))</f>
        <v/>
      </c>
      <c r="N25" s="34" t="str">
        <f aca="false">IF(K25="","",IF(K25=0,"N/A",(L25-M25-K25)/K25))</f>
        <v/>
      </c>
      <c r="O25" s="33" t="str">
        <f aca="false">IF(L25="","",L25/MAX(K25,1))</f>
        <v/>
      </c>
      <c r="P25" s="32"/>
    </row>
    <row r="26" customFormat="false" ht="37.5" hidden="false" customHeight="true" outlineLevel="0" collapsed="false">
      <c r="A26" s="27" t="str">
        <f aca="false">IF(B26&lt;&gt;"","NEW-"&amp;TEXT(11,"000"),"")</f>
        <v/>
      </c>
      <c r="B26" s="28"/>
      <c r="C26" s="28"/>
      <c r="D26" s="28"/>
      <c r="E26" s="28"/>
      <c r="F26" s="28"/>
      <c r="G26" s="28"/>
      <c r="H26" s="28"/>
      <c r="I26" s="28"/>
      <c r="J26" s="28"/>
      <c r="K26" s="28"/>
      <c r="L26" s="29" t="str">
        <f aca="false">IF(G26="","",G26*H26*I26*(1-J26))</f>
        <v/>
      </c>
      <c r="M26" s="29" t="str">
        <f aca="false">IF(L26="","",L26*(J26))</f>
        <v/>
      </c>
      <c r="N26" s="30" t="str">
        <f aca="false">IF(K26="","",IF(K26=0,"N/A",(L26-M26-K26)/K26))</f>
        <v/>
      </c>
      <c r="O26" s="29" t="str">
        <f aca="false">IF(L26="","",L26/MAX(K26,1))</f>
        <v/>
      </c>
      <c r="P26" s="28"/>
    </row>
    <row r="27" customFormat="false" ht="37.5" hidden="false" customHeight="true" outlineLevel="0" collapsed="false">
      <c r="A27" s="31" t="str">
        <f aca="false">IF(B27&lt;&gt;"","NEW-"&amp;TEXT(12,"000"),"")</f>
        <v/>
      </c>
      <c r="B27" s="32"/>
      <c r="C27" s="32"/>
      <c r="D27" s="32"/>
      <c r="E27" s="32"/>
      <c r="F27" s="32"/>
      <c r="G27" s="32"/>
      <c r="H27" s="32"/>
      <c r="I27" s="32"/>
      <c r="J27" s="32"/>
      <c r="K27" s="32"/>
      <c r="L27" s="33" t="str">
        <f aca="false">IF(G27="","",G27*H27*I27*(1-J27))</f>
        <v/>
      </c>
      <c r="M27" s="33" t="str">
        <f aca="false">IF(L27="","",L27*(J27))</f>
        <v/>
      </c>
      <c r="N27" s="34" t="str">
        <f aca="false">IF(K27="","",IF(K27=0,"N/A",(L27-M27-K27)/K27))</f>
        <v/>
      </c>
      <c r="O27" s="33" t="str">
        <f aca="false">IF(L27="","",L27/MAX(K27,1))</f>
        <v/>
      </c>
      <c r="P27" s="32"/>
    </row>
    <row r="28" customFormat="false" ht="37.5" hidden="false" customHeight="true" outlineLevel="0" collapsed="false">
      <c r="A28" s="27" t="str">
        <f aca="false">IF(B28&lt;&gt;"","NEW-"&amp;TEXT(13,"000"),"")</f>
        <v/>
      </c>
      <c r="B28" s="28"/>
      <c r="C28" s="28"/>
      <c r="D28" s="28"/>
      <c r="E28" s="28"/>
      <c r="F28" s="28"/>
      <c r="G28" s="28"/>
      <c r="H28" s="28"/>
      <c r="I28" s="28"/>
      <c r="J28" s="28"/>
      <c r="K28" s="28"/>
      <c r="L28" s="29" t="str">
        <f aca="false">IF(G28="","",G28*H28*I28*(1-J28))</f>
        <v/>
      </c>
      <c r="M28" s="29" t="str">
        <f aca="false">IF(L28="","",L28*(J28))</f>
        <v/>
      </c>
      <c r="N28" s="30" t="str">
        <f aca="false">IF(K28="","",IF(K28=0,"N/A",(L28-M28-K28)/K28))</f>
        <v/>
      </c>
      <c r="O28" s="29" t="str">
        <f aca="false">IF(L28="","",L28/MAX(K28,1))</f>
        <v/>
      </c>
      <c r="P28" s="28"/>
    </row>
    <row r="29" customFormat="false" ht="37.5" hidden="false" customHeight="true" outlineLevel="0" collapsed="false">
      <c r="A29" s="31" t="str">
        <f aca="false">IF(B29&lt;&gt;"","NEW-"&amp;TEXT(14,"000"),"")</f>
        <v/>
      </c>
      <c r="B29" s="32"/>
      <c r="C29" s="32"/>
      <c r="D29" s="32"/>
      <c r="E29" s="32"/>
      <c r="F29" s="32"/>
      <c r="G29" s="32"/>
      <c r="H29" s="32"/>
      <c r="I29" s="32"/>
      <c r="J29" s="32"/>
      <c r="K29" s="32"/>
      <c r="L29" s="33" t="str">
        <f aca="false">IF(G29="","",G29*H29*I29*(1-J29))</f>
        <v/>
      </c>
      <c r="M29" s="33" t="str">
        <f aca="false">IF(L29="","",L29*(J29))</f>
        <v/>
      </c>
      <c r="N29" s="34" t="str">
        <f aca="false">IF(K29="","",IF(K29=0,"N/A",(L29-M29-K29)/K29))</f>
        <v/>
      </c>
      <c r="O29" s="33" t="str">
        <f aca="false">IF(L29="","",L29/MAX(K29,1))</f>
        <v/>
      </c>
      <c r="P29" s="32"/>
    </row>
    <row r="30" customFormat="false" ht="37.5" hidden="false" customHeight="true" outlineLevel="0" collapsed="false">
      <c r="A30" s="27" t="str">
        <f aca="false">IF(B30&lt;&gt;"","NEW-"&amp;TEXT(15,"000"),"")</f>
        <v/>
      </c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9" t="str">
        <f aca="false">IF(G30="","",G30*H30*I30*(1-J30))</f>
        <v/>
      </c>
      <c r="M30" s="29" t="str">
        <f aca="false">IF(L30="","",L30*(J30))</f>
        <v/>
      </c>
      <c r="N30" s="30" t="str">
        <f aca="false">IF(K30="","",IF(K30=0,"N/A",(L30-M30-K30)/K30))</f>
        <v/>
      </c>
      <c r="O30" s="29" t="str">
        <f aca="false">IF(L30="","",L30/MAX(K30,1))</f>
        <v/>
      </c>
      <c r="P30" s="28"/>
    </row>
    <row r="31" customFormat="false" ht="37.5" hidden="false" customHeight="true" outlineLevel="0" collapsed="false">
      <c r="A31" s="31" t="str">
        <f aca="false">IF(B31&lt;&gt;"","NEW-"&amp;TEXT(16,"000"),"")</f>
        <v/>
      </c>
      <c r="B31" s="32"/>
      <c r="C31" s="32"/>
      <c r="D31" s="32"/>
      <c r="E31" s="32"/>
      <c r="F31" s="32"/>
      <c r="G31" s="32"/>
      <c r="H31" s="32"/>
      <c r="I31" s="32"/>
      <c r="J31" s="32"/>
      <c r="K31" s="32"/>
      <c r="L31" s="33" t="str">
        <f aca="false">IF(G31="","",G31*H31*I31*(1-J31))</f>
        <v/>
      </c>
      <c r="M31" s="33" t="str">
        <f aca="false">IF(L31="","",L31*(J31))</f>
        <v/>
      </c>
      <c r="N31" s="34" t="str">
        <f aca="false">IF(K31="","",IF(K31=0,"N/A",(L31-M31-K31)/K31))</f>
        <v/>
      </c>
      <c r="O31" s="33" t="str">
        <f aca="false">IF(L31="","",L31/MAX(K31,1))</f>
        <v/>
      </c>
      <c r="P31" s="32"/>
    </row>
    <row r="32" customFormat="false" ht="37.5" hidden="false" customHeight="true" outlineLevel="0" collapsed="false">
      <c r="A32" s="27" t="str">
        <f aca="false">IF(B32&lt;&gt;"","NEW-"&amp;TEXT(17,"000"),"")</f>
        <v/>
      </c>
      <c r="B32" s="28"/>
      <c r="C32" s="28"/>
      <c r="D32" s="28"/>
      <c r="E32" s="28"/>
      <c r="F32" s="28"/>
      <c r="G32" s="28"/>
      <c r="H32" s="28"/>
      <c r="I32" s="28"/>
      <c r="J32" s="28"/>
      <c r="K32" s="28"/>
      <c r="L32" s="29" t="str">
        <f aca="false">IF(G32="","",G32*H32*I32*(1-J32))</f>
        <v/>
      </c>
      <c r="M32" s="29" t="str">
        <f aca="false">IF(L32="","",L32*(J32))</f>
        <v/>
      </c>
      <c r="N32" s="30" t="str">
        <f aca="false">IF(K32="","",IF(K32=0,"N/A",(L32-M32-K32)/K32))</f>
        <v/>
      </c>
      <c r="O32" s="29" t="str">
        <f aca="false">IF(L32="","",L32/MAX(K32,1))</f>
        <v/>
      </c>
      <c r="P32" s="28"/>
    </row>
    <row r="33" customFormat="false" ht="37.5" hidden="false" customHeight="true" outlineLevel="0" collapsed="false">
      <c r="A33" s="31" t="str">
        <f aca="false">IF(B33&lt;&gt;"","NEW-"&amp;TEXT(18,"000"),"")</f>
        <v/>
      </c>
      <c r="B33" s="32"/>
      <c r="C33" s="32"/>
      <c r="D33" s="32"/>
      <c r="E33" s="32"/>
      <c r="F33" s="32"/>
      <c r="G33" s="32"/>
      <c r="H33" s="32"/>
      <c r="I33" s="32"/>
      <c r="J33" s="32"/>
      <c r="K33" s="32"/>
      <c r="L33" s="33" t="str">
        <f aca="false">IF(G33="","",G33*H33*I33*(1-J33))</f>
        <v/>
      </c>
      <c r="M33" s="33" t="str">
        <f aca="false">IF(L33="","",L33*(J33))</f>
        <v/>
      </c>
      <c r="N33" s="34" t="str">
        <f aca="false">IF(K33="","",IF(K33=0,"N/A",(L33-M33-K33)/K33))</f>
        <v/>
      </c>
      <c r="O33" s="33" t="str">
        <f aca="false">IF(L33="","",L33/MAX(K33,1))</f>
        <v/>
      </c>
      <c r="P33" s="32"/>
    </row>
    <row r="34" customFormat="false" ht="37.5" hidden="false" customHeight="true" outlineLevel="0" collapsed="false">
      <c r="A34" s="27" t="str">
        <f aca="false">IF(B34&lt;&gt;"","NEW-"&amp;TEXT(19,"000"),"")</f>
        <v/>
      </c>
      <c r="B34" s="28"/>
      <c r="C34" s="28"/>
      <c r="D34" s="28"/>
      <c r="E34" s="28"/>
      <c r="F34" s="28"/>
      <c r="G34" s="28"/>
      <c r="H34" s="28"/>
      <c r="I34" s="28"/>
      <c r="J34" s="28"/>
      <c r="K34" s="28"/>
      <c r="L34" s="29" t="str">
        <f aca="false">IF(G34="","",G34*H34*I34*(1-J34))</f>
        <v/>
      </c>
      <c r="M34" s="29" t="str">
        <f aca="false">IF(L34="","",L34*(J34))</f>
        <v/>
      </c>
      <c r="N34" s="30" t="str">
        <f aca="false">IF(K34="","",IF(K34=0,"N/A",(L34-M34-K34)/K34))</f>
        <v/>
      </c>
      <c r="O34" s="29" t="str">
        <f aca="false">IF(L34="","",L34/MAX(K34,1))</f>
        <v/>
      </c>
      <c r="P34" s="28"/>
    </row>
    <row r="35" customFormat="false" ht="37.5" hidden="false" customHeight="true" outlineLevel="0" collapsed="false">
      <c r="A35" s="31" t="str">
        <f aca="false">IF(B35&lt;&gt;"","NEW-"&amp;TEXT(20,"000"),"")</f>
        <v/>
      </c>
      <c r="B35" s="32"/>
      <c r="C35" s="32"/>
      <c r="D35" s="32"/>
      <c r="E35" s="32"/>
      <c r="F35" s="32"/>
      <c r="G35" s="32"/>
      <c r="H35" s="32"/>
      <c r="I35" s="32"/>
      <c r="J35" s="32"/>
      <c r="K35" s="32"/>
      <c r="L35" s="33" t="str">
        <f aca="false">IF(G35="","",G35*H35*I35*(1-J35))</f>
        <v/>
      </c>
      <c r="M35" s="33" t="str">
        <f aca="false">IF(L35="","",L35*(J35))</f>
        <v/>
      </c>
      <c r="N35" s="34" t="str">
        <f aca="false">IF(K35="","",IF(K35=0,"N/A",(L35-M35-K35)/K35))</f>
        <v/>
      </c>
      <c r="O35" s="33" t="str">
        <f aca="false">IF(L35="","",L35/MAX(K35,1))</f>
        <v/>
      </c>
      <c r="P35" s="32"/>
    </row>
    <row r="36" customFormat="false" ht="21.75" hidden="false" customHeight="true" outlineLevel="0" collapsed="false">
      <c r="A36" s="35" t="s">
        <v>96</v>
      </c>
      <c r="B36" s="35"/>
      <c r="C36" s="36"/>
      <c r="D36" s="36"/>
      <c r="E36" s="36"/>
      <c r="F36" s="36"/>
      <c r="G36" s="36"/>
      <c r="H36" s="36"/>
      <c r="I36" s="36"/>
      <c r="J36" s="36"/>
      <c r="K36" s="36"/>
      <c r="L36" s="37" t="n">
        <f aca="false">SUM(L16:L35)</f>
        <v>0</v>
      </c>
      <c r="M36" s="37" t="n">
        <f aca="false">SUM(M16:M35)</f>
        <v>0</v>
      </c>
      <c r="N36" s="36"/>
      <c r="O36" s="37" t="n">
        <f aca="false">SUM(O16:O35)</f>
        <v>0</v>
      </c>
      <c r="P36" s="36"/>
    </row>
    <row r="37" customFormat="false" ht="9.75" hidden="false" customHeight="true" outlineLevel="0" collapsed="false"/>
    <row r="38" customFormat="false" ht="21.75" hidden="false" customHeight="true" outlineLevel="0" collapsed="false">
      <c r="A38" s="6" t="s">
        <v>97</v>
      </c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</row>
    <row r="39" customFormat="false" ht="48" hidden="false" customHeight="true" outlineLevel="0" collapsed="false">
      <c r="A39" s="38" t="s">
        <v>98</v>
      </c>
      <c r="B39" s="38"/>
      <c r="C39" s="38"/>
      <c r="D39" s="22" t="s">
        <v>99</v>
      </c>
      <c r="E39" s="22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</row>
    <row r="40" customFormat="false" ht="48" hidden="false" customHeight="true" outlineLevel="0" collapsed="false">
      <c r="A40" s="39" t="s">
        <v>100</v>
      </c>
      <c r="B40" s="39"/>
      <c r="C40" s="39"/>
      <c r="D40" s="23" t="s">
        <v>101</v>
      </c>
      <c r="E40" s="23"/>
      <c r="F40" s="23"/>
      <c r="G40" s="23"/>
      <c r="H40" s="23"/>
      <c r="I40" s="23"/>
      <c r="J40" s="23"/>
      <c r="K40" s="23"/>
      <c r="L40" s="23"/>
      <c r="M40" s="23"/>
      <c r="N40" s="23"/>
      <c r="O40" s="23"/>
      <c r="P40" s="23"/>
    </row>
    <row r="41" customFormat="false" ht="48" hidden="false" customHeight="true" outlineLevel="0" collapsed="false">
      <c r="A41" s="38" t="s">
        <v>102</v>
      </c>
      <c r="B41" s="38"/>
      <c r="C41" s="38"/>
      <c r="D41" s="22" t="s">
        <v>103</v>
      </c>
      <c r="E41" s="22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</row>
    <row r="42" customFormat="false" ht="48" hidden="false" customHeight="true" outlineLevel="0" collapsed="false">
      <c r="A42" s="39" t="s">
        <v>104</v>
      </c>
      <c r="B42" s="39"/>
      <c r="C42" s="39"/>
      <c r="D42" s="23" t="s">
        <v>105</v>
      </c>
      <c r="E42" s="23"/>
      <c r="F42" s="23"/>
      <c r="G42" s="23"/>
      <c r="H42" s="23"/>
      <c r="I42" s="23"/>
      <c r="J42" s="23"/>
      <c r="K42" s="23"/>
      <c r="L42" s="23"/>
      <c r="M42" s="23"/>
      <c r="N42" s="23"/>
      <c r="O42" s="23"/>
      <c r="P42" s="23"/>
    </row>
  </sheetData>
  <mergeCells count="70">
    <mergeCell ref="A1:P1"/>
    <mergeCell ref="A2:P2"/>
    <mergeCell ref="A4:P4"/>
    <mergeCell ref="A5:B5"/>
    <mergeCell ref="C5:D5"/>
    <mergeCell ref="E5:F5"/>
    <mergeCell ref="G5:H5"/>
    <mergeCell ref="I5:J5"/>
    <mergeCell ref="K5:L5"/>
    <mergeCell ref="M5:N5"/>
    <mergeCell ref="A6:B6"/>
    <mergeCell ref="C6:D6"/>
    <mergeCell ref="E6:F6"/>
    <mergeCell ref="G6:H6"/>
    <mergeCell ref="I6:J6"/>
    <mergeCell ref="K6:L6"/>
    <mergeCell ref="M6:N6"/>
    <mergeCell ref="A7:B7"/>
    <mergeCell ref="C7:D7"/>
    <mergeCell ref="E7:F7"/>
    <mergeCell ref="G7:H7"/>
    <mergeCell ref="I7:J7"/>
    <mergeCell ref="K7:L7"/>
    <mergeCell ref="M7:N7"/>
    <mergeCell ref="A8:B8"/>
    <mergeCell ref="C8:D8"/>
    <mergeCell ref="E8:F8"/>
    <mergeCell ref="G8:H8"/>
    <mergeCell ref="I8:J8"/>
    <mergeCell ref="K8:L8"/>
    <mergeCell ref="M8:N8"/>
    <mergeCell ref="A9:B9"/>
    <mergeCell ref="C9:D9"/>
    <mergeCell ref="E9:F9"/>
    <mergeCell ref="G9:H9"/>
    <mergeCell ref="I9:J9"/>
    <mergeCell ref="K9:L9"/>
    <mergeCell ref="M9:N9"/>
    <mergeCell ref="A10:B10"/>
    <mergeCell ref="C10:D10"/>
    <mergeCell ref="E10:F10"/>
    <mergeCell ref="G10:H10"/>
    <mergeCell ref="I10:J10"/>
    <mergeCell ref="K10:L10"/>
    <mergeCell ref="M10:N10"/>
    <mergeCell ref="A11:B11"/>
    <mergeCell ref="C11:D11"/>
    <mergeCell ref="E11:F11"/>
    <mergeCell ref="G11:H11"/>
    <mergeCell ref="I11:J11"/>
    <mergeCell ref="K11:L11"/>
    <mergeCell ref="M11:N11"/>
    <mergeCell ref="A12:B12"/>
    <mergeCell ref="C12:D12"/>
    <mergeCell ref="E12:F12"/>
    <mergeCell ref="G12:H12"/>
    <mergeCell ref="I12:J12"/>
    <mergeCell ref="K12:L12"/>
    <mergeCell ref="M12:N12"/>
    <mergeCell ref="A14:P14"/>
    <mergeCell ref="A36:B36"/>
    <mergeCell ref="A38:P38"/>
    <mergeCell ref="A39:C39"/>
    <mergeCell ref="D39:P39"/>
    <mergeCell ref="A40:C40"/>
    <mergeCell ref="D40:P40"/>
    <mergeCell ref="A41:C41"/>
    <mergeCell ref="D41:P41"/>
    <mergeCell ref="A42:C42"/>
    <mergeCell ref="D42:P4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100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B5" activeCellId="0" sqref="B5"/>
    </sheetView>
  </sheetViews>
  <sheetFormatPr defaultColWidth="14.43359375" defaultRowHeight="15" zeroHeight="false" outlineLevelRow="0" outlineLevelCol="0"/>
  <cols>
    <col collapsed="false" customWidth="true" hidden="false" outlineLevel="0" max="1" min="1" style="1" width="14"/>
    <col collapsed="false" customWidth="true" hidden="false" outlineLevel="0" max="2" min="2" style="1" width="28"/>
    <col collapsed="false" customWidth="true" hidden="false" outlineLevel="0" max="3" min="3" style="1" width="18"/>
    <col collapsed="false" customWidth="true" hidden="false" outlineLevel="0" max="11" min="4" style="1" width="14"/>
    <col collapsed="false" customWidth="true" hidden="false" outlineLevel="0" max="18" min="12" style="1" width="18"/>
    <col collapsed="false" customWidth="true" hidden="false" outlineLevel="0" max="19" min="19" style="1" width="12"/>
    <col collapsed="false" customWidth="true" hidden="false" outlineLevel="0" max="26" min="20" style="1" width="8.71"/>
  </cols>
  <sheetData>
    <row r="1" customFormat="false" ht="30" hidden="false" customHeight="true" outlineLevel="0" collapsed="false">
      <c r="A1" s="40" t="s">
        <v>106</v>
      </c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0"/>
      <c r="Q1" s="40"/>
      <c r="R1" s="40"/>
      <c r="S1" s="40"/>
    </row>
    <row r="2" customFormat="false" ht="15.75" hidden="false" customHeight="true" outlineLevel="0" collapsed="false">
      <c r="A2" s="41" t="s">
        <v>107</v>
      </c>
      <c r="B2" s="41"/>
      <c r="C2" s="41"/>
      <c r="D2" s="41"/>
      <c r="E2" s="41"/>
      <c r="F2" s="41"/>
      <c r="G2" s="41"/>
      <c r="H2" s="41"/>
      <c r="I2" s="41"/>
      <c r="J2" s="41"/>
      <c r="K2" s="41"/>
      <c r="L2" s="41"/>
      <c r="M2" s="41"/>
      <c r="N2" s="41"/>
      <c r="O2" s="41"/>
      <c r="P2" s="41"/>
      <c r="Q2" s="41"/>
      <c r="R2" s="41"/>
      <c r="S2" s="41"/>
    </row>
    <row r="3" customFormat="false" ht="36" hidden="false" customHeight="true" outlineLevel="0" collapsed="false">
      <c r="A3" s="42" t="s">
        <v>108</v>
      </c>
      <c r="B3" s="42" t="s">
        <v>109</v>
      </c>
      <c r="C3" s="42" t="s">
        <v>110</v>
      </c>
      <c r="D3" s="42" t="s">
        <v>111</v>
      </c>
      <c r="E3" s="42" t="s">
        <v>112</v>
      </c>
      <c r="F3" s="42" t="s">
        <v>113</v>
      </c>
      <c r="G3" s="42" t="s">
        <v>114</v>
      </c>
      <c r="H3" s="42" t="s">
        <v>29</v>
      </c>
      <c r="I3" s="42" t="s">
        <v>115</v>
      </c>
      <c r="J3" s="42" t="s">
        <v>116</v>
      </c>
      <c r="K3" s="42" t="s">
        <v>117</v>
      </c>
      <c r="L3" s="42" t="s">
        <v>118</v>
      </c>
      <c r="M3" s="42" t="s">
        <v>119</v>
      </c>
      <c r="N3" s="42" t="s">
        <v>120</v>
      </c>
      <c r="O3" s="42" t="s">
        <v>121</v>
      </c>
      <c r="P3" s="42" t="s">
        <v>122</v>
      </c>
      <c r="Q3" s="42" t="s">
        <v>123</v>
      </c>
      <c r="R3" s="42" t="s">
        <v>124</v>
      </c>
      <c r="S3" s="42" t="s">
        <v>125</v>
      </c>
    </row>
    <row r="4" customFormat="false" ht="16.5" hidden="false" customHeight="true" outlineLevel="0" collapsed="false">
      <c r="A4" s="43" t="s">
        <v>126</v>
      </c>
      <c r="B4" s="43" t="s">
        <v>127</v>
      </c>
      <c r="C4" s="44" t="s">
        <v>128</v>
      </c>
      <c r="D4" s="45" t="s">
        <v>129</v>
      </c>
      <c r="E4" s="45" t="s">
        <v>130</v>
      </c>
      <c r="F4" s="45"/>
      <c r="G4" s="46" t="s">
        <v>131</v>
      </c>
      <c r="H4" s="44" t="s">
        <v>36</v>
      </c>
      <c r="I4" s="47" t="s">
        <v>37</v>
      </c>
      <c r="J4" s="48" t="n">
        <v>10</v>
      </c>
      <c r="K4" s="49" t="n">
        <v>0.9</v>
      </c>
      <c r="L4" s="49" t="n">
        <v>0.85</v>
      </c>
      <c r="M4" s="50" t="n">
        <f aca="false">J4*K4*L4</f>
        <v>7.65</v>
      </c>
      <c r="N4" s="50" t="n">
        <f aca="false">M4*(1-(L4*0.3))</f>
        <v>5.69925</v>
      </c>
      <c r="O4" s="51" t="n">
        <v>250000</v>
      </c>
      <c r="P4" s="52" t="n">
        <v>0.9</v>
      </c>
      <c r="Q4" s="53" t="n">
        <f aca="false">O4*P4</f>
        <v>225000</v>
      </c>
      <c r="R4" s="51" t="n">
        <v>25000</v>
      </c>
      <c r="S4" s="54" t="n">
        <f aca="false">IF(R4&gt;0,(Q4-R4)/R4,"N/A")</f>
        <v>8</v>
      </c>
    </row>
    <row r="5" customFormat="false" ht="16.5" hidden="false" customHeight="true" outlineLevel="0" collapsed="false">
      <c r="A5" s="55" t="s">
        <v>132</v>
      </c>
      <c r="B5" s="55" t="s">
        <v>133</v>
      </c>
      <c r="C5" s="56" t="s">
        <v>134</v>
      </c>
      <c r="D5" s="57" t="s">
        <v>135</v>
      </c>
      <c r="E5" s="57" t="s">
        <v>136</v>
      </c>
      <c r="F5" s="57" t="s">
        <v>137</v>
      </c>
      <c r="G5" s="58" t="s">
        <v>138</v>
      </c>
      <c r="H5" s="56" t="s">
        <v>139</v>
      </c>
      <c r="I5" s="47" t="s">
        <v>37</v>
      </c>
      <c r="J5" s="59" t="n">
        <v>10</v>
      </c>
      <c r="K5" s="60" t="n">
        <v>0.9</v>
      </c>
      <c r="L5" s="60" t="n">
        <v>0.9</v>
      </c>
      <c r="M5" s="61" t="n">
        <f aca="false">J5*K5*L5</f>
        <v>8.1</v>
      </c>
      <c r="N5" s="61" t="n">
        <f aca="false">M5*(1-(L5*0.3))</f>
        <v>5.913</v>
      </c>
      <c r="O5" s="62" t="n">
        <v>250000</v>
      </c>
      <c r="P5" s="63" t="n">
        <v>0.9</v>
      </c>
      <c r="Q5" s="64" t="n">
        <f aca="false">O5*P5</f>
        <v>225000</v>
      </c>
      <c r="R5" s="62" t="n">
        <v>30000</v>
      </c>
      <c r="S5" s="65" t="n">
        <f aca="false">IF(R5&gt;0,(Q5-R5)/R5,"N/A")</f>
        <v>6.5</v>
      </c>
    </row>
    <row r="6" customFormat="false" ht="16.5" hidden="false" customHeight="true" outlineLevel="0" collapsed="false">
      <c r="A6" s="43" t="s">
        <v>140</v>
      </c>
      <c r="B6" s="43" t="s">
        <v>141</v>
      </c>
      <c r="C6" s="44" t="s">
        <v>142</v>
      </c>
      <c r="D6" s="45" t="s">
        <v>143</v>
      </c>
      <c r="E6" s="45" t="s">
        <v>144</v>
      </c>
      <c r="F6" s="45"/>
      <c r="G6" s="46" t="s">
        <v>131</v>
      </c>
      <c r="H6" s="44" t="s">
        <v>43</v>
      </c>
      <c r="I6" s="66" t="s">
        <v>44</v>
      </c>
      <c r="J6" s="48" t="n">
        <v>7</v>
      </c>
      <c r="K6" s="49" t="n">
        <v>0.65</v>
      </c>
      <c r="L6" s="49" t="n">
        <v>0.7</v>
      </c>
      <c r="M6" s="50" t="n">
        <f aca="false">J6*K6*L6</f>
        <v>3.185</v>
      </c>
      <c r="N6" s="50" t="n">
        <f aca="false">M6*(1-(L6*0.3))</f>
        <v>2.51615</v>
      </c>
      <c r="O6" s="51" t="n">
        <v>1500000</v>
      </c>
      <c r="P6" s="52" t="n">
        <v>0.65</v>
      </c>
      <c r="Q6" s="53" t="n">
        <f aca="false">O6*P6</f>
        <v>975000</v>
      </c>
      <c r="R6" s="51" t="n">
        <v>45000</v>
      </c>
      <c r="S6" s="54" t="n">
        <f aca="false">IF(R6&gt;0,(Q6-R6)/R6,"N/A")</f>
        <v>20.6666666666667</v>
      </c>
    </row>
    <row r="7" customFormat="false" ht="16.5" hidden="false" customHeight="true" outlineLevel="0" collapsed="false">
      <c r="A7" s="55" t="s">
        <v>145</v>
      </c>
      <c r="B7" s="55" t="s">
        <v>146</v>
      </c>
      <c r="C7" s="56" t="s">
        <v>147</v>
      </c>
      <c r="D7" s="57" t="s">
        <v>148</v>
      </c>
      <c r="E7" s="57" t="s">
        <v>149</v>
      </c>
      <c r="F7" s="57" t="s">
        <v>150</v>
      </c>
      <c r="G7" s="58" t="s">
        <v>138</v>
      </c>
      <c r="H7" s="56" t="s">
        <v>50</v>
      </c>
      <c r="I7" s="66" t="s">
        <v>44</v>
      </c>
      <c r="J7" s="59" t="n">
        <v>7</v>
      </c>
      <c r="K7" s="60" t="n">
        <v>0.65</v>
      </c>
      <c r="L7" s="60" t="n">
        <v>0.75</v>
      </c>
      <c r="M7" s="61" t="n">
        <f aca="false">J7*K7*L7</f>
        <v>3.4125</v>
      </c>
      <c r="N7" s="61" t="n">
        <f aca="false">M7*(1-(L7*0.3))</f>
        <v>2.6446875</v>
      </c>
      <c r="O7" s="62" t="n">
        <v>1500000</v>
      </c>
      <c r="P7" s="63" t="n">
        <v>0.65</v>
      </c>
      <c r="Q7" s="64" t="n">
        <f aca="false">O7*P7</f>
        <v>975000</v>
      </c>
      <c r="R7" s="62" t="n">
        <v>18000</v>
      </c>
      <c r="S7" s="65" t="n">
        <f aca="false">IF(R7&gt;0,(Q7-R7)/R7,"N/A")</f>
        <v>53.1666666666667</v>
      </c>
    </row>
    <row r="8" customFormat="false" ht="16.5" hidden="false" customHeight="true" outlineLevel="0" collapsed="false">
      <c r="A8" s="43" t="s">
        <v>151</v>
      </c>
      <c r="B8" s="43" t="s">
        <v>152</v>
      </c>
      <c r="C8" s="44" t="s">
        <v>153</v>
      </c>
      <c r="D8" s="45" t="s">
        <v>136</v>
      </c>
      <c r="E8" s="45" t="s">
        <v>154</v>
      </c>
      <c r="F8" s="45"/>
      <c r="G8" s="46" t="s">
        <v>131</v>
      </c>
      <c r="H8" s="44" t="s">
        <v>139</v>
      </c>
      <c r="I8" s="66" t="s">
        <v>44</v>
      </c>
      <c r="J8" s="48" t="n">
        <v>7</v>
      </c>
      <c r="K8" s="49" t="n">
        <v>0.65</v>
      </c>
      <c r="L8" s="49" t="n">
        <v>0.6</v>
      </c>
      <c r="M8" s="50" t="n">
        <f aca="false">J8*K8*L8</f>
        <v>2.73</v>
      </c>
      <c r="N8" s="50" t="n">
        <f aca="false">M8*(1-(L8*0.3))</f>
        <v>2.2386</v>
      </c>
      <c r="O8" s="51" t="n">
        <v>1500000</v>
      </c>
      <c r="P8" s="52" t="n">
        <v>0.65</v>
      </c>
      <c r="Q8" s="53" t="n">
        <f aca="false">O8*P8</f>
        <v>975000</v>
      </c>
      <c r="R8" s="51" t="n">
        <v>22000</v>
      </c>
      <c r="S8" s="54" t="n">
        <f aca="false">IF(R8&gt;0,(Q8-R8)/R8,"N/A")</f>
        <v>43.3181818181818</v>
      </c>
    </row>
    <row r="9" customFormat="false" ht="16.5" hidden="false" customHeight="true" outlineLevel="0" collapsed="false">
      <c r="A9" s="67" t="s">
        <v>155</v>
      </c>
      <c r="B9" s="67" t="s">
        <v>156</v>
      </c>
      <c r="C9" s="68" t="s">
        <v>157</v>
      </c>
      <c r="D9" s="69" t="s">
        <v>137</v>
      </c>
      <c r="E9" s="69" t="s">
        <v>158</v>
      </c>
      <c r="F9" s="69"/>
      <c r="G9" s="70" t="s">
        <v>159</v>
      </c>
      <c r="H9" s="68" t="s">
        <v>56</v>
      </c>
      <c r="I9" s="47" t="s">
        <v>37</v>
      </c>
      <c r="J9" s="71" t="n">
        <v>10</v>
      </c>
      <c r="K9" s="72" t="n">
        <v>0.9</v>
      </c>
      <c r="L9" s="72" t="n">
        <v>0.8</v>
      </c>
      <c r="M9" s="73" t="n">
        <f aca="false">J9*K9*L9</f>
        <v>7.2</v>
      </c>
      <c r="N9" s="73" t="n">
        <f aca="false">M9*(1-(L9*0.3))</f>
        <v>5.472</v>
      </c>
      <c r="O9" s="74" t="n">
        <v>5000000</v>
      </c>
      <c r="P9" s="75" t="n">
        <v>0.9</v>
      </c>
      <c r="Q9" s="76" t="n">
        <f aca="false">O9*P9</f>
        <v>4500000</v>
      </c>
      <c r="R9" s="74" t="n">
        <v>65000</v>
      </c>
      <c r="S9" s="77" t="n">
        <f aca="false">IF(R9&gt;0,(Q9-R9)/R9,"N/A")</f>
        <v>68.2307692307692</v>
      </c>
    </row>
    <row r="10" customFormat="false" ht="16.5" hidden="false" customHeight="true" outlineLevel="0" collapsed="false">
      <c r="A10" s="43" t="s">
        <v>160</v>
      </c>
      <c r="B10" s="43" t="s">
        <v>161</v>
      </c>
      <c r="C10" s="44" t="s">
        <v>162</v>
      </c>
      <c r="D10" s="45" t="s">
        <v>163</v>
      </c>
      <c r="E10" s="45" t="s">
        <v>164</v>
      </c>
      <c r="F10" s="45"/>
      <c r="G10" s="46" t="s">
        <v>131</v>
      </c>
      <c r="H10" s="44" t="s">
        <v>56</v>
      </c>
      <c r="I10" s="78" t="s">
        <v>165</v>
      </c>
      <c r="J10" s="48" t="n">
        <v>2</v>
      </c>
      <c r="K10" s="49" t="n">
        <v>0.1</v>
      </c>
      <c r="L10" s="49" t="n">
        <v>0.3</v>
      </c>
      <c r="M10" s="50" t="n">
        <f aca="false">J10*K10*L10</f>
        <v>0.06</v>
      </c>
      <c r="N10" s="50" t="n">
        <f aca="false">M10*(1-(L10*0.3))</f>
        <v>0.0546</v>
      </c>
      <c r="O10" s="51" t="n">
        <v>75000</v>
      </c>
      <c r="P10" s="52" t="n">
        <v>0.1</v>
      </c>
      <c r="Q10" s="53" t="n">
        <f aca="false">O10*P10</f>
        <v>7500</v>
      </c>
      <c r="R10" s="51" t="n">
        <v>5000</v>
      </c>
      <c r="S10" s="54" t="n">
        <f aca="false">IF(R10&gt;0,(Q10-R10)/R10,"N/A")</f>
        <v>0.5</v>
      </c>
    </row>
    <row r="11" customFormat="false" ht="16.5" hidden="false" customHeight="true" outlineLevel="0" collapsed="false">
      <c r="A11" s="43" t="s">
        <v>166</v>
      </c>
      <c r="B11" s="43" t="s">
        <v>167</v>
      </c>
      <c r="C11" s="44" t="s">
        <v>168</v>
      </c>
      <c r="D11" s="45" t="s">
        <v>169</v>
      </c>
      <c r="E11" s="45" t="s">
        <v>170</v>
      </c>
      <c r="F11" s="45"/>
      <c r="G11" s="46" t="s">
        <v>131</v>
      </c>
      <c r="H11" s="44" t="s">
        <v>171</v>
      </c>
      <c r="I11" s="79" t="s">
        <v>63</v>
      </c>
      <c r="J11" s="48" t="n">
        <v>4</v>
      </c>
      <c r="K11" s="49" t="n">
        <v>0.35</v>
      </c>
      <c r="L11" s="49" t="n">
        <v>0.55</v>
      </c>
      <c r="M11" s="50" t="n">
        <f aca="false">J11*K11*L11</f>
        <v>0.77</v>
      </c>
      <c r="N11" s="50" t="n">
        <f aca="false">M11*(1-(L11*0.3))</f>
        <v>0.64295</v>
      </c>
      <c r="O11" s="51" t="n">
        <v>350000</v>
      </c>
      <c r="P11" s="52" t="n">
        <v>0.35</v>
      </c>
      <c r="Q11" s="53" t="n">
        <f aca="false">O11*P11</f>
        <v>122500</v>
      </c>
      <c r="R11" s="51" t="n">
        <v>35000</v>
      </c>
      <c r="S11" s="54" t="n">
        <f aca="false">IF(R11&gt;0,(Q11-R11)/R11,"N/A")</f>
        <v>2.5</v>
      </c>
    </row>
    <row r="12" customFormat="false" ht="16.5" hidden="false" customHeight="true" outlineLevel="0" collapsed="false">
      <c r="A12" s="55" t="s">
        <v>172</v>
      </c>
      <c r="B12" s="55" t="s">
        <v>173</v>
      </c>
      <c r="C12" s="56" t="s">
        <v>174</v>
      </c>
      <c r="D12" s="57" t="s">
        <v>175</v>
      </c>
      <c r="E12" s="57" t="s">
        <v>176</v>
      </c>
      <c r="F12" s="57" t="s">
        <v>177</v>
      </c>
      <c r="G12" s="58" t="s">
        <v>138</v>
      </c>
      <c r="H12" s="56" t="s">
        <v>50</v>
      </c>
      <c r="I12" s="79" t="s">
        <v>63</v>
      </c>
      <c r="J12" s="59" t="n">
        <v>4</v>
      </c>
      <c r="K12" s="60" t="n">
        <v>0.35</v>
      </c>
      <c r="L12" s="60" t="n">
        <v>0.65</v>
      </c>
      <c r="M12" s="61" t="n">
        <f aca="false">J12*K12*L12</f>
        <v>0.91</v>
      </c>
      <c r="N12" s="61" t="n">
        <f aca="false">M12*(1-(L12*0.3))</f>
        <v>0.73255</v>
      </c>
      <c r="O12" s="62" t="n">
        <v>350000</v>
      </c>
      <c r="P12" s="63" t="n">
        <v>0.35</v>
      </c>
      <c r="Q12" s="64" t="n">
        <f aca="false">O12*P12</f>
        <v>122500</v>
      </c>
      <c r="R12" s="62" t="n">
        <v>8000</v>
      </c>
      <c r="S12" s="65" t="n">
        <f aca="false">IF(R12&gt;0,(Q12-R12)/R12,"N/A")</f>
        <v>14.3125</v>
      </c>
    </row>
    <row r="13" customFormat="false" ht="16.5" hidden="false" customHeight="true" outlineLevel="0" collapsed="false">
      <c r="A13" s="43" t="s">
        <v>178</v>
      </c>
      <c r="B13" s="43" t="s">
        <v>179</v>
      </c>
      <c r="C13" s="44" t="s">
        <v>180</v>
      </c>
      <c r="D13" s="45" t="s">
        <v>181</v>
      </c>
      <c r="E13" s="45" t="s">
        <v>182</v>
      </c>
      <c r="F13" s="45"/>
      <c r="G13" s="46" t="s">
        <v>131</v>
      </c>
      <c r="H13" s="44" t="s">
        <v>56</v>
      </c>
      <c r="I13" s="66" t="s">
        <v>44</v>
      </c>
      <c r="J13" s="48" t="n">
        <v>7</v>
      </c>
      <c r="K13" s="49" t="n">
        <v>0.65</v>
      </c>
      <c r="L13" s="49" t="n">
        <v>0.7</v>
      </c>
      <c r="M13" s="50" t="n">
        <f aca="false">J13*K13*L13</f>
        <v>3.185</v>
      </c>
      <c r="N13" s="50" t="n">
        <f aca="false">M13*(1-(L13*0.3))</f>
        <v>2.51615</v>
      </c>
      <c r="O13" s="51" t="n">
        <v>1500000</v>
      </c>
      <c r="P13" s="52" t="n">
        <v>0.65</v>
      </c>
      <c r="Q13" s="53" t="n">
        <f aca="false">O13*P13</f>
        <v>975000</v>
      </c>
      <c r="R13" s="51" t="n">
        <v>28000</v>
      </c>
      <c r="S13" s="54" t="n">
        <f aca="false">IF(R13&gt;0,(Q13-R13)/R13,"N/A")</f>
        <v>33.8214285714286</v>
      </c>
    </row>
    <row r="14" customFormat="false" ht="16.5" hidden="false" customHeight="true" outlineLevel="0" collapsed="false">
      <c r="A14" s="67" t="s">
        <v>183</v>
      </c>
      <c r="B14" s="67" t="s">
        <v>184</v>
      </c>
      <c r="C14" s="68" t="s">
        <v>185</v>
      </c>
      <c r="D14" s="69" t="s">
        <v>176</v>
      </c>
      <c r="E14" s="69" t="s">
        <v>186</v>
      </c>
      <c r="F14" s="69"/>
      <c r="G14" s="70" t="s">
        <v>159</v>
      </c>
      <c r="H14" s="68" t="s">
        <v>69</v>
      </c>
      <c r="I14" s="80" t="n">
        <v>7</v>
      </c>
      <c r="J14" s="71" t="n">
        <v>7</v>
      </c>
      <c r="K14" s="72" t="n">
        <v>0.65</v>
      </c>
      <c r="L14" s="72" t="n">
        <v>0.5</v>
      </c>
      <c r="M14" s="73" t="n">
        <f aca="false">J14*K14*L14</f>
        <v>2.275</v>
      </c>
      <c r="N14" s="73" t="n">
        <f aca="false">M14*(1-(L14*0.3))</f>
        <v>1.93375</v>
      </c>
      <c r="O14" s="74" t="n">
        <v>1500000</v>
      </c>
      <c r="P14" s="75" t="n">
        <v>0.65</v>
      </c>
      <c r="Q14" s="76" t="n">
        <f aca="false">O14*P14</f>
        <v>975000</v>
      </c>
      <c r="R14" s="74" t="n">
        <v>42000</v>
      </c>
      <c r="S14" s="77" t="n">
        <f aca="false">IF(R14&gt;0,(Q14-R14)/R14,"N/A")</f>
        <v>22.2142857142857</v>
      </c>
    </row>
    <row r="15" customFormat="false" ht="16.5" hidden="false" customHeight="true" outlineLevel="0" collapsed="false">
      <c r="A15" s="43" t="s">
        <v>187</v>
      </c>
      <c r="B15" s="43" t="s">
        <v>188</v>
      </c>
      <c r="C15" s="44" t="s">
        <v>189</v>
      </c>
      <c r="D15" s="45" t="s">
        <v>190</v>
      </c>
      <c r="E15" s="45" t="s">
        <v>164</v>
      </c>
      <c r="F15" s="45"/>
      <c r="G15" s="46" t="s">
        <v>131</v>
      </c>
      <c r="H15" s="44" t="s">
        <v>62</v>
      </c>
      <c r="I15" s="66" t="s">
        <v>44</v>
      </c>
      <c r="J15" s="48" t="n">
        <v>7</v>
      </c>
      <c r="K15" s="49" t="n">
        <v>0.65</v>
      </c>
      <c r="L15" s="49" t="n">
        <v>0.6</v>
      </c>
      <c r="M15" s="50" t="n">
        <f aca="false">J15*K15*L15</f>
        <v>2.73</v>
      </c>
      <c r="N15" s="50" t="n">
        <f aca="false">M15*(1-(L15*0.3))</f>
        <v>2.2386</v>
      </c>
      <c r="O15" s="51" t="n">
        <v>1500000</v>
      </c>
      <c r="P15" s="52" t="n">
        <v>0.65</v>
      </c>
      <c r="Q15" s="53" t="n">
        <f aca="false">O15*P15</f>
        <v>975000</v>
      </c>
      <c r="R15" s="51" t="n">
        <v>15000</v>
      </c>
      <c r="S15" s="54" t="n">
        <f aca="false">IF(R15&gt;0,(Q15-R15)/R15,"N/A")</f>
        <v>64</v>
      </c>
    </row>
    <row r="16" customFormat="false" ht="16.5" hidden="false" customHeight="true" outlineLevel="0" collapsed="false">
      <c r="A16" s="55" t="s">
        <v>191</v>
      </c>
      <c r="B16" s="55" t="s">
        <v>192</v>
      </c>
      <c r="C16" s="56" t="s">
        <v>193</v>
      </c>
      <c r="D16" s="57" t="s">
        <v>194</v>
      </c>
      <c r="E16" s="57" t="s">
        <v>195</v>
      </c>
      <c r="F16" s="57" t="s">
        <v>196</v>
      </c>
      <c r="G16" s="58" t="s">
        <v>138</v>
      </c>
      <c r="H16" s="56" t="s">
        <v>36</v>
      </c>
      <c r="I16" s="47" t="s">
        <v>37</v>
      </c>
      <c r="J16" s="59" t="n">
        <v>10</v>
      </c>
      <c r="K16" s="60" t="n">
        <v>0.9</v>
      </c>
      <c r="L16" s="60" t="n">
        <v>0.9</v>
      </c>
      <c r="M16" s="61" t="n">
        <f aca="false">J16*K16*L16</f>
        <v>8.1</v>
      </c>
      <c r="N16" s="61" t="n">
        <f aca="false">M16*(1-(L16*0.3))</f>
        <v>5.913</v>
      </c>
      <c r="O16" s="62" t="n">
        <v>5000000</v>
      </c>
      <c r="P16" s="63" t="n">
        <v>0.9</v>
      </c>
      <c r="Q16" s="64" t="n">
        <f aca="false">O16*P16</f>
        <v>4500000</v>
      </c>
      <c r="R16" s="62" t="n">
        <v>12000</v>
      </c>
      <c r="S16" s="65" t="n">
        <f aca="false">IF(R16&gt;0,(Q16-R16)/R16,"N/A")</f>
        <v>374</v>
      </c>
    </row>
    <row r="17" customFormat="false" ht="16.5" hidden="false" customHeight="true" outlineLevel="0" collapsed="false">
      <c r="A17" s="43" t="s">
        <v>197</v>
      </c>
      <c r="B17" s="43" t="s">
        <v>198</v>
      </c>
      <c r="C17" s="44" t="s">
        <v>199</v>
      </c>
      <c r="D17" s="45" t="s">
        <v>170</v>
      </c>
      <c r="E17" s="45" t="s">
        <v>200</v>
      </c>
      <c r="F17" s="45"/>
      <c r="G17" s="46" t="s">
        <v>131</v>
      </c>
      <c r="H17" s="44" t="s">
        <v>43</v>
      </c>
      <c r="I17" s="79" t="s">
        <v>63</v>
      </c>
      <c r="J17" s="48" t="n">
        <v>4</v>
      </c>
      <c r="K17" s="49" t="n">
        <v>0.35</v>
      </c>
      <c r="L17" s="49" t="n">
        <v>0.45</v>
      </c>
      <c r="M17" s="50" t="n">
        <f aca="false">J17*K17*L17</f>
        <v>0.63</v>
      </c>
      <c r="N17" s="50" t="n">
        <f aca="false">M17*(1-(L17*0.3))</f>
        <v>0.54495</v>
      </c>
      <c r="O17" s="51" t="n">
        <v>350000</v>
      </c>
      <c r="P17" s="52" t="n">
        <v>0.35</v>
      </c>
      <c r="Q17" s="53" t="n">
        <f aca="false">O17*P17</f>
        <v>122500</v>
      </c>
      <c r="R17" s="51" t="n">
        <v>55000</v>
      </c>
      <c r="S17" s="54" t="n">
        <f aca="false">IF(R17&gt;0,(Q17-R17)/R17,"N/A")</f>
        <v>1.22727272727273</v>
      </c>
    </row>
    <row r="18" customFormat="false" ht="16.5" hidden="false" customHeight="true" outlineLevel="0" collapsed="false">
      <c r="A18" s="43" t="s">
        <v>201</v>
      </c>
      <c r="B18" s="43" t="s">
        <v>202</v>
      </c>
      <c r="C18" s="44" t="s">
        <v>203</v>
      </c>
      <c r="D18" s="45" t="s">
        <v>204</v>
      </c>
      <c r="E18" s="45" t="s">
        <v>205</v>
      </c>
      <c r="F18" s="45"/>
      <c r="G18" s="46" t="s">
        <v>131</v>
      </c>
      <c r="H18" s="44" t="s">
        <v>36</v>
      </c>
      <c r="I18" s="66" t="s">
        <v>44</v>
      </c>
      <c r="J18" s="48" t="n">
        <v>7</v>
      </c>
      <c r="K18" s="49" t="n">
        <v>0.65</v>
      </c>
      <c r="L18" s="49" t="n">
        <v>0.65</v>
      </c>
      <c r="M18" s="50" t="n">
        <f aca="false">J18*K18*L18</f>
        <v>2.9575</v>
      </c>
      <c r="N18" s="50" t="n">
        <f aca="false">M18*(1-(L18*0.3))</f>
        <v>2.3807875</v>
      </c>
      <c r="O18" s="51" t="n">
        <v>1500000</v>
      </c>
      <c r="P18" s="52" t="n">
        <v>0.65</v>
      </c>
      <c r="Q18" s="53" t="n">
        <f aca="false">O18*P18</f>
        <v>975000</v>
      </c>
      <c r="R18" s="51" t="n">
        <v>32000</v>
      </c>
      <c r="S18" s="54" t="n">
        <f aca="false">IF(R18&gt;0,(Q18-R18)/R18,"N/A")</f>
        <v>29.46875</v>
      </c>
    </row>
    <row r="19" customFormat="false" ht="19.5" hidden="false" customHeight="true" outlineLevel="0" collapsed="false">
      <c r="A19" s="81" t="s">
        <v>206</v>
      </c>
      <c r="B19" s="81"/>
      <c r="C19" s="81"/>
      <c r="D19" s="81"/>
      <c r="E19" s="81"/>
      <c r="F19" s="81"/>
      <c r="G19" s="81"/>
      <c r="H19" s="81"/>
      <c r="I19" s="81"/>
      <c r="J19" s="82" t="n">
        <f aca="false">AVERAGE(J4:J18)</f>
        <v>6.86666666666667</v>
      </c>
      <c r="K19" s="82" t="n">
        <f aca="false">AVERAGE(K4:K18)</f>
        <v>0.62</v>
      </c>
      <c r="L19" s="82" t="n">
        <f aca="false">AVERAGE(L4:L18)</f>
        <v>0.66</v>
      </c>
      <c r="M19" s="82" t="n">
        <f aca="false">AVERAGE(M4:M18)</f>
        <v>3.593</v>
      </c>
      <c r="N19" s="82" t="n">
        <f aca="false">AVERAGE(N4:N18)</f>
        <v>2.762735</v>
      </c>
      <c r="O19" s="83" t="n">
        <f aca="false">SUM(O4:O18)</f>
        <v>22125000</v>
      </c>
      <c r="P19" s="82" t="n">
        <f aca="false">AVERAGE(P4:P18)</f>
        <v>0.62</v>
      </c>
      <c r="Q19" s="83" t="n">
        <f aca="false">SUM(Q4:Q18)</f>
        <v>16650000</v>
      </c>
      <c r="R19" s="83" t="n">
        <f aca="false">SUM(R4:R18)</f>
        <v>437000</v>
      </c>
    </row>
    <row r="20" customFormat="false" ht="15" hidden="false" customHeight="true" outlineLevel="0" collapsed="false"/>
    <row r="21" customFormat="false" ht="15.75" hidden="false" customHeight="true" outlineLevel="0" collapsed="false"/>
    <row r="22" customFormat="false" ht="15.75" hidden="false" customHeight="true" outlineLevel="0" collapsed="false"/>
    <row r="23" customFormat="false" ht="15.75" hidden="false" customHeight="true" outlineLevel="0" collapsed="false"/>
    <row r="24" customFormat="false" ht="15.75" hidden="false" customHeight="true" outlineLevel="0" collapsed="false"/>
    <row r="25" customFormat="false" ht="15.75" hidden="false" customHeight="true" outlineLevel="0" collapsed="false"/>
    <row r="26" customFormat="false" ht="15.75" hidden="false" customHeight="true" outlineLevel="0" collapsed="false"/>
    <row r="27" customFormat="false" ht="15.75" hidden="false" customHeight="true" outlineLevel="0" collapsed="false"/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mergeCells count="3">
    <mergeCell ref="A1:S1"/>
    <mergeCell ref="A2:S2"/>
    <mergeCell ref="A19:I1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5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7" topLeftCell="A18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1" width="10"/>
    <col collapsed="false" customWidth="true" hidden="false" outlineLevel="0" max="3" min="3" style="1" width="36"/>
    <col collapsed="false" customWidth="true" hidden="false" outlineLevel="0" max="5" min="4" style="1" width="14"/>
    <col collapsed="false" customWidth="true" hidden="false" outlineLevel="0" max="6" min="6" style="1" width="10"/>
    <col collapsed="false" customWidth="true" hidden="false" outlineLevel="0" max="7" min="7" style="1" width="16"/>
    <col collapsed="false" customWidth="true" hidden="false" outlineLevel="0" max="8" min="8" style="1" width="18"/>
    <col collapsed="false" customWidth="true" hidden="false" outlineLevel="0" max="9" min="9" style="1" width="14"/>
    <col collapsed="false" customWidth="true" hidden="false" outlineLevel="0" max="10" min="10" style="1" width="24"/>
    <col collapsed="false" customWidth="true" hidden="false" outlineLevel="0" max="11" min="11" style="1" width="10"/>
    <col collapsed="false" customWidth="true" hidden="false" outlineLevel="0" max="12" min="12" style="1" width="14"/>
    <col collapsed="false" customWidth="true" hidden="false" outlineLevel="0" max="13" min="13" style="1" width="10"/>
    <col collapsed="false" customWidth="true" hidden="false" outlineLevel="0" max="14" min="14" style="1" width="20"/>
  </cols>
  <sheetData>
    <row r="1" customFormat="false" ht="30" hidden="false" customHeight="true" outlineLevel="0" collapsed="false">
      <c r="A1" s="18" t="s">
        <v>207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</row>
    <row r="2" customFormat="false" ht="24" hidden="false" customHeight="true" outlineLevel="0" collapsed="false">
      <c r="A2" s="19" t="s">
        <v>208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</row>
    <row r="3" customFormat="false" ht="7.5" hidden="false" customHeight="true" outlineLevel="0" collapsed="false"/>
    <row r="4" customFormat="false" ht="21.75" hidden="false" customHeight="true" outlineLevel="0" collapsed="false">
      <c r="A4" s="20" t="s">
        <v>209</v>
      </c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</row>
    <row r="5" customFormat="false" ht="36" hidden="false" customHeight="true" outlineLevel="0" collapsed="false">
      <c r="A5" s="25" t="s">
        <v>210</v>
      </c>
      <c r="B5" s="25"/>
      <c r="C5" s="25" t="s">
        <v>211</v>
      </c>
      <c r="D5" s="25"/>
      <c r="E5" s="25" t="s">
        <v>212</v>
      </c>
      <c r="F5" s="25"/>
      <c r="G5" s="25" t="s">
        <v>213</v>
      </c>
      <c r="H5" s="25"/>
      <c r="I5" s="25" t="s">
        <v>214</v>
      </c>
      <c r="J5" s="25"/>
      <c r="K5" s="25" t="s">
        <v>215</v>
      </c>
      <c r="L5" s="25"/>
    </row>
    <row r="6" customFormat="false" ht="27.75" hidden="false" customHeight="true" outlineLevel="0" collapsed="false">
      <c r="A6" s="84" t="n">
        <f aca="false">COUNTIF('Issue Register'!G:G,"Open")+COUNTIF('Issue Register'!G:G,"In Remediation")</f>
        <v>11</v>
      </c>
      <c r="B6" s="84"/>
      <c r="C6" s="85" t="n">
        <f aca="false">SUMIF('Issue Register'!G:G,"Open",'Issue Register'!Q:Q)+SUMIF('Issue Register'!G:G,"In Remediation",'Issue Register'!Q:Q)</f>
        <v>10827500</v>
      </c>
      <c r="D6" s="85"/>
      <c r="E6" s="85" t="n">
        <f aca="false">SUMIF('Issue Register'!G:G,"Open",'Issue Register'!R:R)+SUMIF('Issue Register'!G:G,"In Remediation",'Issue Register'!R:R)</f>
        <v>369000</v>
      </c>
      <c r="F6" s="85"/>
      <c r="G6" s="86" t="n">
        <f aca="false">IFERROR(AVERAGEIF('Issue Register'!G:G,"Open",'Issue Register'!S:S),0)</f>
        <v>22.6113666426166</v>
      </c>
      <c r="H6" s="86"/>
      <c r="I6" s="84" t="n">
        <f aca="false">COUNTIFS('Issue Register'!G:G,"Open",'Issue Register'!Q:Q,"&gt;"&amp;Assumptions!B11)</f>
        <v>0</v>
      </c>
      <c r="J6" s="84"/>
      <c r="K6" s="85" t="n">
        <f aca="false">SUMPRODUCT(LARGE(IF('Issue Register'!G:G="Open",'Issue Register'!Q:Q,0),{1,2,3,4,5}))*0.8</f>
        <v>3900000</v>
      </c>
      <c r="L6" s="85"/>
    </row>
    <row r="7" customFormat="false" ht="9.75" hidden="false" customHeight="true" outlineLevel="0" collapsed="false"/>
    <row r="8" customFormat="false" ht="21.75" hidden="false" customHeight="true" outlineLevel="0" collapsed="false">
      <c r="A8" s="24" t="s">
        <v>216</v>
      </c>
      <c r="B8" s="24"/>
      <c r="C8" s="24"/>
      <c r="D8" s="24"/>
      <c r="E8" s="24"/>
      <c r="F8" s="24"/>
      <c r="G8" s="24"/>
      <c r="H8" s="24"/>
      <c r="I8" s="24"/>
      <c r="J8" s="24"/>
      <c r="K8" s="24"/>
      <c r="L8" s="24"/>
      <c r="M8" s="24"/>
      <c r="N8" s="24"/>
    </row>
    <row r="9" customFormat="false" ht="18" hidden="false" customHeight="true" outlineLevel="0" collapsed="false">
      <c r="A9" s="87" t="s">
        <v>217</v>
      </c>
      <c r="B9" s="87"/>
      <c r="C9" s="87" t="s">
        <v>218</v>
      </c>
      <c r="D9" s="87"/>
      <c r="E9" s="87" t="s">
        <v>219</v>
      </c>
      <c r="F9" s="87"/>
      <c r="G9" s="87" t="s">
        <v>220</v>
      </c>
      <c r="H9" s="87"/>
    </row>
    <row r="10" customFormat="false" ht="19.5" hidden="false" customHeight="true" outlineLevel="0" collapsed="false">
      <c r="A10" s="88" t="s">
        <v>221</v>
      </c>
      <c r="B10" s="88"/>
      <c r="C10" s="89" t="s">
        <v>222</v>
      </c>
      <c r="D10" s="89"/>
      <c r="E10" s="22" t="s">
        <v>223</v>
      </c>
      <c r="F10" s="22"/>
      <c r="G10" s="22" t="s">
        <v>224</v>
      </c>
      <c r="H10" s="22"/>
    </row>
    <row r="11" customFormat="false" ht="19.5" hidden="false" customHeight="true" outlineLevel="0" collapsed="false">
      <c r="A11" s="90" t="s">
        <v>225</v>
      </c>
      <c r="B11" s="90"/>
      <c r="C11" s="91" t="s">
        <v>222</v>
      </c>
      <c r="D11" s="91"/>
      <c r="E11" s="23" t="s">
        <v>226</v>
      </c>
      <c r="F11" s="23"/>
      <c r="G11" s="23" t="s">
        <v>227</v>
      </c>
      <c r="H11" s="23"/>
    </row>
    <row r="12" customFormat="false" ht="19.5" hidden="false" customHeight="true" outlineLevel="0" collapsed="false">
      <c r="A12" s="92" t="s">
        <v>228</v>
      </c>
      <c r="B12" s="92"/>
      <c r="C12" s="93" t="s">
        <v>222</v>
      </c>
      <c r="D12" s="93"/>
      <c r="E12" s="22" t="s">
        <v>229</v>
      </c>
      <c r="F12" s="22"/>
      <c r="G12" s="22" t="s">
        <v>230</v>
      </c>
      <c r="H12" s="22"/>
    </row>
    <row r="13" customFormat="false" ht="19.5" hidden="false" customHeight="true" outlineLevel="0" collapsed="false">
      <c r="A13" s="94" t="s">
        <v>231</v>
      </c>
      <c r="B13" s="94"/>
      <c r="C13" s="95" t="s">
        <v>222</v>
      </c>
      <c r="D13" s="95"/>
      <c r="E13" s="23" t="s">
        <v>232</v>
      </c>
      <c r="F13" s="23"/>
      <c r="G13" s="23" t="s">
        <v>233</v>
      </c>
      <c r="H13" s="23"/>
    </row>
    <row r="14" customFormat="false" ht="19.5" hidden="false" customHeight="true" outlineLevel="0" collapsed="false">
      <c r="A14" s="96" t="s">
        <v>234</v>
      </c>
      <c r="B14" s="96"/>
      <c r="C14" s="97" t="s">
        <v>222</v>
      </c>
      <c r="D14" s="97"/>
      <c r="E14" s="22" t="s">
        <v>235</v>
      </c>
      <c r="F14" s="22"/>
      <c r="G14" s="22" t="s">
        <v>236</v>
      </c>
      <c r="H14" s="22"/>
    </row>
    <row r="15" customFormat="false" ht="9.75" hidden="false" customHeight="true" outlineLevel="0" collapsed="false"/>
    <row r="16" customFormat="false" ht="21.75" hidden="false" customHeight="true" outlineLevel="0" collapsed="false">
      <c r="A16" s="98" t="s">
        <v>237</v>
      </c>
      <c r="B16" s="98"/>
      <c r="C16" s="98"/>
      <c r="D16" s="98"/>
      <c r="E16" s="98"/>
      <c r="F16" s="98"/>
      <c r="G16" s="98"/>
      <c r="H16" s="98"/>
      <c r="I16" s="98"/>
      <c r="J16" s="98"/>
      <c r="K16" s="98"/>
      <c r="L16" s="98"/>
      <c r="M16" s="98"/>
      <c r="N16" s="98"/>
    </row>
    <row r="17" customFormat="false" ht="39.75" hidden="false" customHeight="true" outlineLevel="0" collapsed="false">
      <c r="A17" s="25" t="s">
        <v>238</v>
      </c>
      <c r="B17" s="25" t="s">
        <v>108</v>
      </c>
      <c r="C17" s="25" t="s">
        <v>239</v>
      </c>
      <c r="D17" s="25" t="s">
        <v>29</v>
      </c>
      <c r="E17" s="25" t="s">
        <v>240</v>
      </c>
      <c r="F17" s="25" t="s">
        <v>114</v>
      </c>
      <c r="G17" s="25" t="s">
        <v>241</v>
      </c>
      <c r="H17" s="25" t="s">
        <v>124</v>
      </c>
      <c r="I17" s="25" t="s">
        <v>242</v>
      </c>
      <c r="J17" s="25" t="s">
        <v>243</v>
      </c>
      <c r="K17" s="25" t="s">
        <v>125</v>
      </c>
      <c r="L17" s="25" t="s">
        <v>244</v>
      </c>
      <c r="M17" s="25" t="s">
        <v>245</v>
      </c>
      <c r="N17" s="25" t="s">
        <v>246</v>
      </c>
    </row>
    <row r="18" customFormat="false" ht="31.5" hidden="false" customHeight="true" outlineLevel="0" collapsed="false">
      <c r="A18" s="99" t="str">
        <f aca="false">IF('ROSI &amp; Prioritization'!B5&lt;&gt;"",1,"")</f>
        <v/>
      </c>
      <c r="B18" s="100" t="str">
        <f aca="false">IF('ROSI &amp; Prioritization'!A5&lt;&gt;"",'ROSI &amp; Prioritization'!A5,"")</f>
        <v>REMEDIATION PRIORITIZATION — RANKED BY FINANCIAL RISK REDUCTION</v>
      </c>
      <c r="C18" s="101" t="str">
        <f aca="false">IF('ROSI &amp; Prioritization'!B5&lt;&gt;"",'ROSI &amp; Prioritization'!B5,"")</f>
        <v/>
      </c>
      <c r="D18" s="100" t="str">
        <f aca="false">IF(B18&lt;&gt;"",IFERROR(VLOOKUP(B18,'Issue Register'!A:H,8,0),""),"")</f>
        <v/>
      </c>
      <c r="E18" s="100" t="str">
        <f aca="false">IF('ROSI &amp; Prioritization'!C5&lt;&gt;"",'ROSI &amp; Prioritization'!C5,"")</f>
        <v/>
      </c>
      <c r="F18" s="100" t="str">
        <f aca="false">IF(B18&lt;&gt;"",IFERROR(VLOOKUP(B18,'Issue Register'!A:G,7,0),""),"")</f>
        <v/>
      </c>
      <c r="G18" s="102" t="str">
        <f aca="false">IF('ROSI &amp; Prioritization'!D5&lt;&gt;"",'ROSI &amp; Prioritization'!D5,"")</f>
        <v/>
      </c>
      <c r="H18" s="102" t="str">
        <f aca="false">IF('ROSI &amp; Prioritization'!E5&lt;&gt;"",'ROSI &amp; Prioritization'!E5,"")</f>
        <v/>
      </c>
      <c r="I18" s="103" t="str">
        <f aca="false">IF('ROSI &amp; Prioritization'!F5&lt;&gt;"",'ROSI &amp; Prioritization'!F5,"")</f>
        <v/>
      </c>
      <c r="J18" s="102" t="str">
        <f aca="false">IF('ROSI &amp; Prioritization'!G5&lt;&gt;"",'ROSI &amp; Prioritization'!G5,"")</f>
        <v/>
      </c>
      <c r="K18" s="104" t="str">
        <f aca="false">IF('ROSI &amp; Prioritization'!H5&lt;&gt;"",'ROSI &amp; Prioritization'!H5,"")</f>
        <v/>
      </c>
      <c r="L18" s="105" t="str">
        <f aca="false">IF(K18="","",IF(K18&gt;20,"TIER 1 — IMMEDIATE",IF(K18&gt;=10,"TIER 2 — HIGH PRIORITY",IF(K18&gt;=3,"TIER 3 — STANDARD",IF(K18&gt;=1,"TIER 4 — MONITOR","TIER 5 — DEPRIORITIZE")))))</f>
        <v/>
      </c>
      <c r="M18" s="106" t="str">
        <f aca="true">IF(B18&lt;&gt;"",IFERROR(TODAY()-VLOOKUP(B18,'Issue Register'!A:D,4,0),""),"")</f>
        <v/>
      </c>
      <c r="N18" s="23" t="str">
        <f aca="false">IF(K18="","",IF(K18&gt;20,"Immediate — no budget gate",IF(K18&gt;=10,"Fix within 30 days",IF(K18&gt;=3,"Schedule in 90-day roadmap",IF(K18&gt;=1,"Accept or transfer risk","Formally accept — deprioritize")))))</f>
        <v/>
      </c>
    </row>
    <row r="19" customFormat="false" ht="31.5" hidden="false" customHeight="true" outlineLevel="0" collapsed="false">
      <c r="A19" s="107" t="n">
        <f aca="false">IF('ROSI &amp; Prioritization'!B6&lt;&gt;"",2,"")</f>
        <v>2</v>
      </c>
      <c r="B19" s="108" t="str">
        <f aca="false">IF('ROSI &amp; Prioritization'!A6&lt;&gt;"",'ROSI &amp; Prioritization'!A6,"")</f>
        <v>Issue ID</v>
      </c>
      <c r="C19" s="109" t="str">
        <f aca="false">IF('ROSI &amp; Prioritization'!B6&lt;&gt;"",'ROSI &amp; Prioritization'!B6,"")</f>
        <v>Description</v>
      </c>
      <c r="D19" s="108" t="str">
        <f aca="false">IF(B19&lt;&gt;"",IFERROR(VLOOKUP(B19,'Issue Register'!A:H,8,0),""),"")</f>
        <v>Risk Domain</v>
      </c>
      <c r="E19" s="108" t="str">
        <f aca="false">IF('ROSI &amp; Prioritization'!C6&lt;&gt;"",'ROSI &amp; Prioritization'!C6,"")</f>
        <v>Severity</v>
      </c>
      <c r="F19" s="108" t="str">
        <f aca="false">IF(B19&lt;&gt;"",IFERROR(VLOOKUP(B19,'Issue Register'!A:G,7,0),""),"")</f>
        <v>Status</v>
      </c>
      <c r="G19" s="110" t="str">
        <f aca="false">IF('ROSI &amp; Prioritization'!D6&lt;&gt;"",'ROSI &amp; Prioritization'!D6,"")</f>
        <v>ALE ($)</v>
      </c>
      <c r="H19" s="110" t="str">
        <f aca="false">IF('ROSI &amp; Prioritization'!E6&lt;&gt;"",'ROSI &amp; Prioritization'!E6,"")</f>
        <v>Remediation
Cost ($)</v>
      </c>
      <c r="I19" s="111" t="str">
        <f aca="false">IF('ROSI &amp; Prioritization'!F6&lt;&gt;"",'ROSI &amp; Prioritization'!F6,"")</f>
        <v>Risk Reduction
Expected</v>
      </c>
      <c r="J19" s="110" t="str">
        <f aca="false">IF('ROSI &amp; Prioritization'!G6&lt;&gt;"",'ROSI &amp; Prioritization'!G6,"")</f>
        <v>Financial
Benefit ($)</v>
      </c>
      <c r="K19" s="112" t="str">
        <f aca="false">IF('ROSI &amp; Prioritization'!H6&lt;&gt;"",'ROSI &amp; Prioritization'!H6,"")</f>
        <v>ROSI</v>
      </c>
      <c r="L19" s="113" t="str">
        <f aca="false">IF(K19="","",IF(K19&gt;20,"TIER 1 — IMMEDIATE",IF(K19&gt;=10,"TIER 2 — HIGH PRIORITY",IF(K19&gt;=3,"TIER 3 — STANDARD",IF(K19&gt;=1,"TIER 4 — MONITOR","TIER 5 — DEPRIORITIZE")))))</f>
        <v>TIER 1 — IMMEDIATE</v>
      </c>
      <c r="M19" s="114" t="str">
        <f aca="true">IF(B19&lt;&gt;"",IFERROR(TODAY()-VLOOKUP(B19,'Issue Register'!A:D,4,0),""),"")</f>
        <v/>
      </c>
      <c r="N19" s="22" t="str">
        <f aca="false">IF(K19="","",IF(K19&gt;20,"Immediate — no budget gate",IF(K19&gt;=10,"Fix within 30 days",IF(K19&gt;=3,"Schedule in 90-day roadmap",IF(K19&gt;=1,"Accept or transfer risk","Formally accept — deprioritize")))))</f>
        <v>Immediate — no budget gate</v>
      </c>
    </row>
    <row r="20" customFormat="false" ht="31.5" hidden="false" customHeight="true" outlineLevel="0" collapsed="false">
      <c r="A20" s="99" t="n">
        <f aca="false">IF('ROSI &amp; Prioritization'!B7&lt;&gt;"",3,"")</f>
        <v>3</v>
      </c>
      <c r="B20" s="100" t="str">
        <f aca="false">IF('ROSI &amp; Prioritization'!A7&lt;&gt;"",'ROSI &amp; Prioritization'!A7,"")</f>
        <v>SEC-001</v>
      </c>
      <c r="C20" s="101" t="str">
        <f aca="false">IF('ROSI &amp; Prioritization'!B7&lt;&gt;"",'ROSI &amp; Prioritization'!B7,"")</f>
        <v>Unpatched RCE - Web App</v>
      </c>
      <c r="D20" s="100" t="str">
        <f aca="false">IF(B20&lt;&gt;"",IFERROR(VLOOKUP(B20,'Issue Register'!A:H,8,0),""),"")</f>
        <v>Infrastructure</v>
      </c>
      <c r="E20" s="100" t="str">
        <f aca="false">IF('ROSI &amp; Prioritization'!C7&lt;&gt;"",'ROSI &amp; Prioritization'!C7,"")</f>
        <v>Critical</v>
      </c>
      <c r="F20" s="100" t="str">
        <f aca="false">IF(B20&lt;&gt;"",IFERROR(VLOOKUP(B20,'Issue Register'!A:G,7,0),""),"")</f>
        <v>Open</v>
      </c>
      <c r="G20" s="102" t="n">
        <f aca="false">IF('ROSI &amp; Prioritization'!D7&lt;&gt;"",'ROSI &amp; Prioritization'!D7,"")</f>
        <v>4500000</v>
      </c>
      <c r="H20" s="102" t="n">
        <f aca="false">IF('ROSI &amp; Prioritization'!E7&lt;&gt;"",'ROSI &amp; Prioritization'!E7,"")</f>
        <v>25000</v>
      </c>
      <c r="I20" s="103" t="n">
        <f aca="false">IF('ROSI &amp; Prioritization'!F7&lt;&gt;"",'ROSI &amp; Prioritization'!F7,"")</f>
        <v>0.9</v>
      </c>
      <c r="J20" s="102" t="n">
        <f aca="false">IF('ROSI &amp; Prioritization'!G7&lt;&gt;"",'ROSI &amp; Prioritization'!G7,"")</f>
        <v>4050000</v>
      </c>
      <c r="K20" s="104" t="n">
        <f aca="false">IF('ROSI &amp; Prioritization'!H7&lt;&gt;"",'ROSI &amp; Prioritization'!H7,"")</f>
        <v>161</v>
      </c>
      <c r="L20" s="105" t="str">
        <f aca="false">IF(K20="","",IF(K20&gt;20,"TIER 1 — IMMEDIATE",IF(K20&gt;=10,"TIER 2 — HIGH PRIORITY",IF(K20&gt;=3,"TIER 3 — STANDARD",IF(K20&gt;=1,"TIER 4 — MONITOR","TIER 5 — DEPRIORITIZE")))))</f>
        <v>TIER 1 — IMMEDIATE</v>
      </c>
      <c r="M20" s="106" t="n">
        <f aca="true">IF(B20&lt;&gt;"",IFERROR(TODAY()-VLOOKUP(B20,'Issue Register'!A:D,4,0),""),"")</f>
        <v>597</v>
      </c>
      <c r="N20" s="23" t="str">
        <f aca="false">IF(K20="","",IF(K20&gt;20,"Immediate — no budget gate",IF(K20&gt;=10,"Fix within 30 days",IF(K20&gt;=3,"Schedule in 90-day roadmap",IF(K20&gt;=1,"Accept or transfer risk","Formally accept — deprioritize")))))</f>
        <v>Immediate — no budget gate</v>
      </c>
    </row>
    <row r="21" customFormat="false" ht="31.5" hidden="false" customHeight="true" outlineLevel="0" collapsed="false">
      <c r="A21" s="107" t="n">
        <f aca="false">IF('ROSI &amp; Prioritization'!B8&lt;&gt;"",4,"")</f>
        <v>4</v>
      </c>
      <c r="B21" s="108" t="str">
        <f aca="false">IF('ROSI &amp; Prioritization'!A8&lt;&gt;"",'ROSI &amp; Prioritization'!A8,"")</f>
        <v>SEC-006</v>
      </c>
      <c r="C21" s="109" t="str">
        <f aca="false">IF('ROSI &amp; Prioritization'!B8&lt;&gt;"",'ROSI &amp; Prioritization'!B8,"")</f>
        <v>SQL Injection - Customer Portal</v>
      </c>
      <c r="D21" s="108" t="str">
        <f aca="false">IF(B21&lt;&gt;"",IFERROR(VLOOKUP(B21,'Issue Register'!A:H,8,0),""),"")</f>
        <v>Application</v>
      </c>
      <c r="E21" s="108" t="str">
        <f aca="false">IF('ROSI &amp; Prioritization'!C8&lt;&gt;"",'ROSI &amp; Prioritization'!C8,"")</f>
        <v>Critical</v>
      </c>
      <c r="F21" s="108" t="str">
        <f aca="false">IF(B21&lt;&gt;"",IFERROR(VLOOKUP(B21,'Issue Register'!A:G,7,0),""),"")</f>
        <v>In Remediation</v>
      </c>
      <c r="G21" s="110" t="n">
        <f aca="false">IF('ROSI &amp; Prioritization'!D8&lt;&gt;"",'ROSI &amp; Prioritization'!D8,"")</f>
        <v>4500000</v>
      </c>
      <c r="H21" s="110" t="n">
        <f aca="false">IF('ROSI &amp; Prioritization'!E8&lt;&gt;"",'ROSI &amp; Prioritization'!E8,"")</f>
        <v>65000</v>
      </c>
      <c r="I21" s="111" t="n">
        <f aca="false">IF('ROSI &amp; Prioritization'!F8&lt;&gt;"",'ROSI &amp; Prioritization'!F8,"")</f>
        <v>0.85</v>
      </c>
      <c r="J21" s="110" t="n">
        <f aca="false">IF('ROSI &amp; Prioritization'!G8&lt;&gt;"",'ROSI &amp; Prioritization'!G8,"")</f>
        <v>3825000</v>
      </c>
      <c r="K21" s="112" t="n">
        <f aca="false">IF('ROSI &amp; Prioritization'!H8&lt;&gt;"",'ROSI &amp; Prioritization'!H8,"")</f>
        <v>57.8461538461539</v>
      </c>
      <c r="L21" s="113" t="str">
        <f aca="false">IF(K21="","",IF(K21&gt;20,"TIER 1 — IMMEDIATE",IF(K21&gt;=10,"TIER 2 — HIGH PRIORITY",IF(K21&gt;=3,"TIER 3 — STANDARD",IF(K21&gt;=1,"TIER 4 — MONITOR","TIER 5 — DEPRIORITIZE")))))</f>
        <v>TIER 1 — IMMEDIATE</v>
      </c>
      <c r="M21" s="114" t="n">
        <f aca="true">IF(B21&lt;&gt;"",IFERROR(TODAY()-VLOOKUP(B21,'Issue Register'!A:D,4,0),""),"")</f>
        <v>585</v>
      </c>
      <c r="N21" s="22" t="str">
        <f aca="false">IF(K21="","",IF(K21&gt;20,"Immediate — no budget gate",IF(K21&gt;=10,"Fix within 30 days",IF(K21&gt;=3,"Schedule in 90-day roadmap",IF(K21&gt;=1,"Accept or transfer risk","Formally accept — deprioritize")))))</f>
        <v>Immediate — no budget gate</v>
      </c>
    </row>
    <row r="22" customFormat="false" ht="31.5" hidden="false" customHeight="true" outlineLevel="0" collapsed="false">
      <c r="A22" s="99" t="n">
        <f aca="false">IF('ROSI &amp; Prioritization'!B9&lt;&gt;"",5,"")</f>
        <v>5</v>
      </c>
      <c r="B22" s="100" t="str">
        <f aca="false">IF('ROSI &amp; Prioritization'!A9&lt;&gt;"",'ROSI &amp; Prioritization'!A9,"")</f>
        <v>SEC-012</v>
      </c>
      <c r="C22" s="101" t="str">
        <f aca="false">IF('ROSI &amp; Prioritization'!B9&lt;&gt;"",'ROSI &amp; Prioritization'!B9,"")</f>
        <v>Vendor Excessive Data Access</v>
      </c>
      <c r="D22" s="100" t="str">
        <f aca="false">IF(B22&lt;&gt;"",IFERROR(VLOOKUP(B22,'Issue Register'!A:H,8,0),""),"")</f>
        <v>Third-Party Risk</v>
      </c>
      <c r="E22" s="100" t="str">
        <f aca="false">IF('ROSI &amp; Prioritization'!C9&lt;&gt;"",'ROSI &amp; Prioritization'!C9,"")</f>
        <v>High</v>
      </c>
      <c r="F22" s="100" t="str">
        <f aca="false">IF(B22&lt;&gt;"",IFERROR(VLOOKUP(B22,'Issue Register'!A:G,7,0),""),"")</f>
        <v>Open</v>
      </c>
      <c r="G22" s="102" t="n">
        <f aca="false">IF('ROSI &amp; Prioritization'!D9&lt;&gt;"",'ROSI &amp; Prioritization'!D9,"")</f>
        <v>975000</v>
      </c>
      <c r="H22" s="102" t="n">
        <f aca="false">IF('ROSI &amp; Prioritization'!E9&lt;&gt;"",'ROSI &amp; Prioritization'!E9,"")</f>
        <v>15000</v>
      </c>
      <c r="I22" s="103" t="n">
        <f aca="false">IF('ROSI &amp; Prioritization'!F9&lt;&gt;"",'ROSI &amp; Prioritization'!F9,"")</f>
        <v>0.6</v>
      </c>
      <c r="J22" s="102" t="n">
        <f aca="false">IF('ROSI &amp; Prioritization'!G9&lt;&gt;"",'ROSI &amp; Prioritization'!G9,"")</f>
        <v>585000</v>
      </c>
      <c r="K22" s="104" t="n">
        <f aca="false">IF('ROSI &amp; Prioritization'!H9&lt;&gt;"",'ROSI &amp; Prioritization'!H9,"")</f>
        <v>38</v>
      </c>
      <c r="L22" s="105" t="str">
        <f aca="false">IF(K22="","",IF(K22&gt;20,"TIER 1 — IMMEDIATE",IF(K22&gt;=10,"TIER 2 — HIGH PRIORITY",IF(K22&gt;=3,"TIER 3 — STANDARD",IF(K22&gt;=1,"TIER 4 — MONITOR","TIER 5 — DEPRIORITIZE")))))</f>
        <v>TIER 1 — IMMEDIATE</v>
      </c>
      <c r="M22" s="106" t="n">
        <f aca="true">IF(B22&lt;&gt;"",IFERROR(TODAY()-VLOOKUP(B22,'Issue Register'!A:D,4,0),""),"")</f>
        <v>565</v>
      </c>
      <c r="N22" s="23" t="str">
        <f aca="false">IF(K22="","",IF(K22&gt;20,"Immediate — no budget gate",IF(K22&gt;=10,"Fix within 30 days",IF(K22&gt;=3,"Schedule in 90-day roadmap",IF(K22&gt;=1,"Accept or transfer risk","Formally accept — deprioritize")))))</f>
        <v>Immediate — no budget gate</v>
      </c>
    </row>
    <row r="23" customFormat="false" ht="31.5" hidden="false" customHeight="true" outlineLevel="0" collapsed="false">
      <c r="A23" s="107" t="n">
        <f aca="false">IF('ROSI &amp; Prioritization'!B10&lt;&gt;"",6,"")</f>
        <v>6</v>
      </c>
      <c r="B23" s="108" t="str">
        <f aca="false">IF('ROSI &amp; Prioritization'!A10&lt;&gt;"",'ROSI &amp; Prioritization'!A10,"")</f>
        <v>SEC-005</v>
      </c>
      <c r="C23" s="109" t="str">
        <f aca="false">IF('ROSI &amp; Prioritization'!B10&lt;&gt;"",'ROSI &amp; Prioritization'!B10,"")</f>
        <v>TLS 1.0 on API Gateway</v>
      </c>
      <c r="D23" s="108" t="str">
        <f aca="false">IF(B23&lt;&gt;"",IFERROR(VLOOKUP(B23,'Issue Register'!A:H,8,0),""),"")</f>
        <v>Network</v>
      </c>
      <c r="E23" s="108" t="str">
        <f aca="false">IF('ROSI &amp; Prioritization'!C10&lt;&gt;"",'ROSI &amp; Prioritization'!C10,"")</f>
        <v>High</v>
      </c>
      <c r="F23" s="108" t="str">
        <f aca="false">IF(B23&lt;&gt;"",IFERROR(VLOOKUP(B23,'Issue Register'!A:G,7,0),""),"")</f>
        <v>Open</v>
      </c>
      <c r="G23" s="110" t="n">
        <f aca="false">IF('ROSI &amp; Prioritization'!D10&lt;&gt;"",'ROSI &amp; Prioritization'!D10,"")</f>
        <v>975000</v>
      </c>
      <c r="H23" s="110" t="n">
        <f aca="false">IF('ROSI &amp; Prioritization'!E10&lt;&gt;"",'ROSI &amp; Prioritization'!E10,"")</f>
        <v>22000</v>
      </c>
      <c r="I23" s="111" t="n">
        <f aca="false">IF('ROSI &amp; Prioritization'!F10&lt;&gt;"",'ROSI &amp; Prioritization'!F10,"")</f>
        <v>0.65</v>
      </c>
      <c r="J23" s="110" t="n">
        <f aca="false">IF('ROSI &amp; Prioritization'!G10&lt;&gt;"",'ROSI &amp; Prioritization'!G10,"")</f>
        <v>633750</v>
      </c>
      <c r="K23" s="112" t="n">
        <f aca="false">IF('ROSI &amp; Prioritization'!H10&lt;&gt;"",'ROSI &amp; Prioritization'!H10,"")</f>
        <v>27.8068181818182</v>
      </c>
      <c r="L23" s="113" t="str">
        <f aca="false">IF(K23="","",IF(K23&gt;20,"TIER 1 — IMMEDIATE",IF(K23&gt;=10,"TIER 2 — HIGH PRIORITY",IF(K23&gt;=3,"TIER 3 — STANDARD",IF(K23&gt;=1,"TIER 4 — MONITOR","TIER 5 — DEPRIORITIZE")))))</f>
        <v>TIER 1 — IMMEDIATE</v>
      </c>
      <c r="M23" s="114" t="n">
        <f aca="true">IF(B23&lt;&gt;"",IFERROR(TODAY()-VLOOKUP(B23,'Issue Register'!A:D,4,0),""),"")</f>
        <v>588</v>
      </c>
      <c r="N23" s="22" t="str">
        <f aca="false">IF(K23="","",IF(K23&gt;20,"Immediate — no budget gate",IF(K23&gt;=10,"Fix within 30 days",IF(K23&gt;=3,"Schedule in 90-day roadmap",IF(K23&gt;=1,"Accept or transfer risk","Formally accept — deprioritize")))))</f>
        <v>Immediate — no budget gate</v>
      </c>
    </row>
    <row r="24" customFormat="false" ht="31.5" hidden="false" customHeight="true" outlineLevel="0" collapsed="false">
      <c r="A24" s="99" t="n">
        <f aca="false">IF('ROSI &amp; Prioritization'!B11&lt;&gt;"",7,"")</f>
        <v>7</v>
      </c>
      <c r="B24" s="100" t="str">
        <f aca="false">IF('ROSI &amp; Prioritization'!A11&lt;&gt;"",'ROSI &amp; Prioritization'!A11,"")</f>
        <v>SEC-010</v>
      </c>
      <c r="C24" s="101" t="str">
        <f aca="false">IF('ROSI &amp; Prioritization'!B11&lt;&gt;"",'ROSI &amp; Prioritization'!B11,"")</f>
        <v>IDOR in HR Application</v>
      </c>
      <c r="D24" s="100" t="str">
        <f aca="false">IF(B24&lt;&gt;"",IFERROR(VLOOKUP(B24,'Issue Register'!A:H,8,0),""),"")</f>
        <v>Application</v>
      </c>
      <c r="E24" s="100" t="str">
        <f aca="false">IF('ROSI &amp; Prioritization'!C11&lt;&gt;"",'ROSI &amp; Prioritization'!C11,"")</f>
        <v>High</v>
      </c>
      <c r="F24" s="100" t="str">
        <f aca="false">IF(B24&lt;&gt;"",IFERROR(VLOOKUP(B24,'Issue Register'!A:G,7,0),""),"")</f>
        <v>Open</v>
      </c>
      <c r="G24" s="102" t="n">
        <f aca="false">IF('ROSI &amp; Prioritization'!D11&lt;&gt;"",'ROSI &amp; Prioritization'!D11,"")</f>
        <v>975000</v>
      </c>
      <c r="H24" s="102" t="n">
        <f aca="false">IF('ROSI &amp; Prioritization'!E11&lt;&gt;"",'ROSI &amp; Prioritization'!E11,"")</f>
        <v>28000</v>
      </c>
      <c r="I24" s="103" t="n">
        <f aca="false">IF('ROSI &amp; Prioritization'!F11&lt;&gt;"",'ROSI &amp; Prioritization'!F11,"")</f>
        <v>0.75</v>
      </c>
      <c r="J24" s="102" t="n">
        <f aca="false">IF('ROSI &amp; Prioritization'!G11&lt;&gt;"",'ROSI &amp; Prioritization'!G11,"")</f>
        <v>731250</v>
      </c>
      <c r="K24" s="104" t="n">
        <f aca="false">IF('ROSI &amp; Prioritization'!H11&lt;&gt;"",'ROSI &amp; Prioritization'!H11,"")</f>
        <v>25.1160714285714</v>
      </c>
      <c r="L24" s="105" t="str">
        <f aca="false">IF(K24="","",IF(K24&gt;20,"TIER 1 — IMMEDIATE",IF(K24&gt;=10,"TIER 2 — HIGH PRIORITY",IF(K24&gt;=3,"TIER 3 — STANDARD",IF(K24&gt;=1,"TIER 4 — MONITOR","TIER 5 — DEPRIORITIZE")))))</f>
        <v>TIER 1 — IMMEDIATE</v>
      </c>
      <c r="M24" s="106" t="n">
        <f aca="true">IF(B24&lt;&gt;"",IFERROR(TODAY()-VLOOKUP(B24,'Issue Register'!A:D,4,0),""),"")</f>
        <v>575</v>
      </c>
      <c r="N24" s="23" t="str">
        <f aca="false">IF(K24="","",IF(K24&gt;20,"Immediate — no budget gate",IF(K24&gt;=10,"Fix within 30 days",IF(K24&gt;=3,"Schedule in 90-day roadmap",IF(K24&gt;=1,"Accept or transfer risk","Formally accept — deprioritize")))))</f>
        <v>Immediate — no budget gate</v>
      </c>
    </row>
    <row r="25" customFormat="false" ht="31.5" hidden="false" customHeight="true" outlineLevel="0" collapsed="false">
      <c r="A25" s="107" t="n">
        <f aca="false">IF('ROSI &amp; Prioritization'!B12&lt;&gt;"",8,"")</f>
        <v>8</v>
      </c>
      <c r="B25" s="108" t="str">
        <f aca="false">IF('ROSI &amp; Prioritization'!A12&lt;&gt;"",'ROSI &amp; Prioritization'!A12,"")</f>
        <v>SEC-015</v>
      </c>
      <c r="C25" s="109" t="str">
        <f aca="false">IF('ROSI &amp; Prioritization'!B12&lt;&gt;"",'ROSI &amp; Prioritization'!B12,"")</f>
        <v>Container CVEs in Production</v>
      </c>
      <c r="D25" s="108" t="str">
        <f aca="false">IF(B25&lt;&gt;"",IFERROR(VLOOKUP(B25,'Issue Register'!A:H,8,0),""),"")</f>
        <v>Infrastructure</v>
      </c>
      <c r="E25" s="108" t="str">
        <f aca="false">IF('ROSI &amp; Prioritization'!C12&lt;&gt;"",'ROSI &amp; Prioritization'!C12,"")</f>
        <v>High</v>
      </c>
      <c r="F25" s="108" t="str">
        <f aca="false">IF(B25&lt;&gt;"",IFERROR(VLOOKUP(B25,'Issue Register'!A:G,7,0),""),"")</f>
        <v>Open</v>
      </c>
      <c r="G25" s="110" t="n">
        <f aca="false">IF('ROSI &amp; Prioritization'!D12&lt;&gt;"",'ROSI &amp; Prioritization'!D12,"")</f>
        <v>975000</v>
      </c>
      <c r="H25" s="110" t="n">
        <f aca="false">IF('ROSI &amp; Prioritization'!E12&lt;&gt;"",'ROSI &amp; Prioritization'!E12,"")</f>
        <v>32000</v>
      </c>
      <c r="I25" s="111" t="n">
        <f aca="false">IF('ROSI &amp; Prioritization'!F12&lt;&gt;"",'ROSI &amp; Prioritization'!F12,"")</f>
        <v>0.7</v>
      </c>
      <c r="J25" s="110" t="n">
        <f aca="false">IF('ROSI &amp; Prioritization'!G12&lt;&gt;"",'ROSI &amp; Prioritization'!G12,"")</f>
        <v>682500</v>
      </c>
      <c r="K25" s="112" t="n">
        <f aca="false">IF('ROSI &amp; Prioritization'!H12&lt;&gt;"",'ROSI &amp; Prioritization'!H12,"")</f>
        <v>20.328125</v>
      </c>
      <c r="L25" s="113" t="str">
        <f aca="false">IF(K25="","",IF(K25&gt;20,"TIER 1 — IMMEDIATE",IF(K25&gt;=10,"TIER 2 — HIGH PRIORITY",IF(K25&gt;=3,"TIER 3 — STANDARD",IF(K25&gt;=1,"TIER 4 — MONITOR","TIER 5 — DEPRIORITIZE")))))</f>
        <v>TIER 1 — IMMEDIATE</v>
      </c>
      <c r="M25" s="114" t="n">
        <f aca="true">IF(B25&lt;&gt;"",IFERROR(TODAY()-VLOOKUP(B25,'Issue Register'!A:D,4,0),""),"")</f>
        <v>559</v>
      </c>
      <c r="N25" s="22" t="str">
        <f aca="false">IF(K25="","",IF(K25&gt;20,"Immediate — no budget gate",IF(K25&gt;=10,"Fix within 30 days",IF(K25&gt;=3,"Schedule in 90-day roadmap",IF(K25&gt;=1,"Accept or transfer risk","Formally accept — deprioritize")))))</f>
        <v>Immediate — no budget gate</v>
      </c>
    </row>
    <row r="26" customFormat="false" ht="31.5" hidden="false" customHeight="true" outlineLevel="0" collapsed="false">
      <c r="A26" s="99" t="n">
        <f aca="false">IF('ROSI &amp; Prioritization'!B13&lt;&gt;"",9,"")</f>
        <v>9</v>
      </c>
      <c r="B26" s="100" t="str">
        <f aca="false">IF('ROSI &amp; Prioritization'!A13&lt;&gt;"",'ROSI &amp; Prioritization'!A13,"")</f>
        <v>SEC-003</v>
      </c>
      <c r="C26" s="101" t="str">
        <f aca="false">IF('ROSI &amp; Prioritization'!B13&lt;&gt;"",'ROSI &amp; Prioritization'!B13,"")</f>
        <v>PII in Unencrypted S3</v>
      </c>
      <c r="D26" s="100" t="str">
        <f aca="false">IF(B26&lt;&gt;"",IFERROR(VLOOKUP(B26,'Issue Register'!A:H,8,0),""),"")</f>
        <v>Data Protection</v>
      </c>
      <c r="E26" s="100" t="str">
        <f aca="false">IF('ROSI &amp; Prioritization'!C13&lt;&gt;"",'ROSI &amp; Prioritization'!C13,"")</f>
        <v>High</v>
      </c>
      <c r="F26" s="100" t="str">
        <f aca="false">IF(B26&lt;&gt;"",IFERROR(VLOOKUP(B26,'Issue Register'!A:G,7,0),""),"")</f>
        <v>Open</v>
      </c>
      <c r="G26" s="102" t="n">
        <f aca="false">IF('ROSI &amp; Prioritization'!D13&lt;&gt;"",'ROSI &amp; Prioritization'!D13,"")</f>
        <v>975000</v>
      </c>
      <c r="H26" s="102" t="n">
        <f aca="false">IF('ROSI &amp; Prioritization'!E13&lt;&gt;"",'ROSI &amp; Prioritization'!E13,"")</f>
        <v>45000</v>
      </c>
      <c r="I26" s="103" t="n">
        <f aca="false">IF('ROSI &amp; Prioritization'!F13&lt;&gt;"",'ROSI &amp; Prioritization'!F13,"")</f>
        <v>0.8</v>
      </c>
      <c r="J26" s="102" t="n">
        <f aca="false">IF('ROSI &amp; Prioritization'!G13&lt;&gt;"",'ROSI &amp; Prioritization'!G13,"")</f>
        <v>780000</v>
      </c>
      <c r="K26" s="104" t="n">
        <f aca="false">IF('ROSI &amp; Prioritization'!H13&lt;&gt;"",'ROSI &amp; Prioritization'!H13,"")</f>
        <v>16.3333333333333</v>
      </c>
      <c r="L26" s="105" t="str">
        <f aca="false">IF(K26="","",IF(K26&gt;20,"TIER 1 — IMMEDIATE",IF(K26&gt;=10,"TIER 2 — HIGH PRIORITY",IF(K26&gt;=3,"TIER 3 — STANDARD",IF(K26&gt;=1,"TIER 4 — MONITOR","TIER 5 — DEPRIORITIZE")))))</f>
        <v>TIER 2 — HIGH PRIORITY</v>
      </c>
      <c r="M26" s="106" t="n">
        <f aca="true">IF(B26&lt;&gt;"",IFERROR(TODAY()-VLOOKUP(B26,'Issue Register'!A:D,4,0),""),"")</f>
        <v>592</v>
      </c>
      <c r="N26" s="23" t="str">
        <f aca="false">IF(K26="","",IF(K26&gt;20,"Immediate — no budget gate",IF(K26&gt;=10,"Fix within 30 days",IF(K26&gt;=3,"Schedule in 90-day roadmap",IF(K26&gt;=1,"Accept or transfer risk","Formally accept — deprioritize")))))</f>
        <v>Fix within 30 days</v>
      </c>
    </row>
    <row r="27" customFormat="false" ht="31.5" hidden="false" customHeight="true" outlineLevel="0" collapsed="false">
      <c r="A27" s="107" t="n">
        <f aca="false">IF('ROSI &amp; Prioritization'!B14&lt;&gt;"",10,"")</f>
        <v>10</v>
      </c>
      <c r="B27" s="108" t="str">
        <f aca="false">IF('ROSI &amp; Prioritization'!A14&lt;&gt;"",'ROSI &amp; Prioritization'!A14,"")</f>
        <v>SEC-011</v>
      </c>
      <c r="C27" s="109" t="str">
        <f aca="false">IF('ROSI &amp; Prioritization'!B14&lt;&gt;"",'ROSI &amp; Prioritization'!B14,"")</f>
        <v>SIEM Log Gaps</v>
      </c>
      <c r="D27" s="108" t="str">
        <f aca="false">IF(B27&lt;&gt;"",IFERROR(VLOOKUP(B27,'Issue Register'!A:H,8,0),""),"")</f>
        <v>Detection &amp; Response</v>
      </c>
      <c r="E27" s="108" t="str">
        <f aca="false">IF('ROSI &amp; Prioritization'!C14&lt;&gt;"",'ROSI &amp; Prioritization'!C14,"")</f>
        <v>High</v>
      </c>
      <c r="F27" s="108" t="str">
        <f aca="false">IF(B27&lt;&gt;"",IFERROR(VLOOKUP(B27,'Issue Register'!A:G,7,0),""),"")</f>
        <v>In Remediation</v>
      </c>
      <c r="G27" s="110" t="n">
        <f aca="false">IF('ROSI &amp; Prioritization'!D14&lt;&gt;"",'ROSI &amp; Prioritization'!D14,"")</f>
        <v>975000</v>
      </c>
      <c r="H27" s="110" t="n">
        <f aca="false">IF('ROSI &amp; Prioritization'!E14&lt;&gt;"",'ROSI &amp; Prioritization'!E14,"")</f>
        <v>42000</v>
      </c>
      <c r="I27" s="111" t="n">
        <f aca="false">IF('ROSI &amp; Prioritization'!F14&lt;&gt;"",'ROSI &amp; Prioritization'!F14,"")</f>
        <v>0.6</v>
      </c>
      <c r="J27" s="110" t="n">
        <f aca="false">IF('ROSI &amp; Prioritization'!G14&lt;&gt;"",'ROSI &amp; Prioritization'!G14,"")</f>
        <v>585000</v>
      </c>
      <c r="K27" s="112" t="n">
        <f aca="false">IF('ROSI &amp; Prioritization'!H14&lt;&gt;"",'ROSI &amp; Prioritization'!H14,"")</f>
        <v>12.9285714285714</v>
      </c>
      <c r="L27" s="113" t="str">
        <f aca="false">IF(K27="","",IF(K27&gt;20,"TIER 1 — IMMEDIATE",IF(K27&gt;=10,"TIER 2 — HIGH PRIORITY",IF(K27&gt;=3,"TIER 3 — STANDARD",IF(K27&gt;=1,"TIER 4 — MONITOR","TIER 5 — DEPRIORITIZE")))))</f>
        <v>TIER 2 — HIGH PRIORITY</v>
      </c>
      <c r="M27" s="114" t="n">
        <f aca="true">IF(B27&lt;&gt;"",IFERROR(TODAY()-VLOOKUP(B27,'Issue Register'!A:D,4,0),""),"")</f>
        <v>568</v>
      </c>
      <c r="N27" s="22" t="str">
        <f aca="false">IF(K27="","",IF(K27&gt;20,"Immediate — no budget gate",IF(K27&gt;=10,"Fix within 30 days",IF(K27&gt;=3,"Schedule in 90-day roadmap",IF(K27&gt;=1,"Accept or transfer risk","Formally accept — deprioritize")))))</f>
        <v>Fix within 30 days</v>
      </c>
    </row>
    <row r="28" customFormat="false" ht="31.5" hidden="false" customHeight="true" outlineLevel="0" collapsed="false">
      <c r="A28" s="99" t="n">
        <f aca="false">IF('ROSI &amp; Prioritization'!B15&lt;&gt;"",11,"")</f>
        <v>11</v>
      </c>
      <c r="B28" s="100" t="str">
        <f aca="false">IF('ROSI &amp; Prioritization'!A15&lt;&gt;"",'ROSI &amp; Prioritization'!A15,"")</f>
        <v>SEC-008</v>
      </c>
      <c r="C28" s="101" t="str">
        <f aca="false">IF('ROSI &amp; Prioritization'!B15&lt;&gt;"",'ROSI &amp; Prioritization'!B15,"")</f>
        <v>Endpoints without EDR</v>
      </c>
      <c r="D28" s="100" t="str">
        <f aca="false">IF(B28&lt;&gt;"",IFERROR(VLOOKUP(B28,'Issue Register'!A:H,8,0),""),"")</f>
        <v>Endpoint</v>
      </c>
      <c r="E28" s="100" t="str">
        <f aca="false">IF('ROSI &amp; Prioritization'!C15&lt;&gt;"",'ROSI &amp; Prioritization'!C15,"")</f>
        <v>Medium</v>
      </c>
      <c r="F28" s="100" t="str">
        <f aca="false">IF(B28&lt;&gt;"",IFERROR(VLOOKUP(B28,'Issue Register'!A:G,7,0),""),"")</f>
        <v>Open</v>
      </c>
      <c r="G28" s="102" t="n">
        <f aca="false">IF('ROSI &amp; Prioritization'!D15&lt;&gt;"",'ROSI &amp; Prioritization'!D15,"")</f>
        <v>122500</v>
      </c>
      <c r="H28" s="102" t="n">
        <f aca="false">IF('ROSI &amp; Prioritization'!E15&lt;&gt;"",'ROSI &amp; Prioritization'!E15,"")</f>
        <v>35000</v>
      </c>
      <c r="I28" s="103" t="n">
        <f aca="false">IF('ROSI &amp; Prioritization'!F15&lt;&gt;"",'ROSI &amp; Prioritization'!F15,"")</f>
        <v>0.8</v>
      </c>
      <c r="J28" s="102" t="n">
        <f aca="false">IF('ROSI &amp; Prioritization'!G15&lt;&gt;"",'ROSI &amp; Prioritization'!G15,"")</f>
        <v>98000</v>
      </c>
      <c r="K28" s="104" t="n">
        <f aca="false">IF('ROSI &amp; Prioritization'!H15&lt;&gt;"",'ROSI &amp; Prioritization'!H15,"")</f>
        <v>1.8</v>
      </c>
      <c r="L28" s="105" t="str">
        <f aca="false">IF(K28="","",IF(K28&gt;20,"TIER 1 — IMMEDIATE",IF(K28&gt;=10,"TIER 2 — HIGH PRIORITY",IF(K28&gt;=3,"TIER 3 — STANDARD",IF(K28&gt;=1,"TIER 4 — MONITOR","TIER 5 — DEPRIORITIZE")))))</f>
        <v>TIER 4 — MONITOR</v>
      </c>
      <c r="M28" s="106" t="n">
        <f aca="true">IF(B28&lt;&gt;"",IFERROR(TODAY()-VLOOKUP(B28,'Issue Register'!A:D,4,0),""),"")</f>
        <v>580</v>
      </c>
      <c r="N28" s="23" t="str">
        <f aca="false">IF(K28="","",IF(K28&gt;20,"Immediate — no budget gate",IF(K28&gt;=10,"Fix within 30 days",IF(K28&gt;=3,"Schedule in 90-day roadmap",IF(K28&gt;=1,"Accept or transfer risk","Formally accept — deprioritize")))))</f>
        <v>Accept or transfer risk</v>
      </c>
    </row>
    <row r="29" customFormat="false" ht="31.5" hidden="false" customHeight="true" outlineLevel="0" collapsed="false">
      <c r="A29" s="107" t="n">
        <f aca="false">IF('ROSI &amp; Prioritization'!B16&lt;&gt;"",12,"")</f>
        <v>12</v>
      </c>
      <c r="B29" s="108" t="str">
        <f aca="false">IF('ROSI &amp; Prioritization'!A16&lt;&gt;"",'ROSI &amp; Prioritization'!A16,"")</f>
        <v>SEC-014</v>
      </c>
      <c r="C29" s="109" t="str">
        <f aca="false">IF('ROSI &amp; Prioritization'!B16&lt;&gt;"",'ROSI &amp; Prioritization'!B16,"")</f>
        <v>DLP Not Configured</v>
      </c>
      <c r="D29" s="108" t="str">
        <f aca="false">IF(B29&lt;&gt;"",IFERROR(VLOOKUP(B29,'Issue Register'!A:H,8,0),""),"")</f>
        <v>Data Protection</v>
      </c>
      <c r="E29" s="108" t="str">
        <f aca="false">IF('ROSI &amp; Prioritization'!C16&lt;&gt;"",'ROSI &amp; Prioritization'!C16,"")</f>
        <v>Medium</v>
      </c>
      <c r="F29" s="108" t="str">
        <f aca="false">IF(B29&lt;&gt;"",IFERROR(VLOOKUP(B29,'Issue Register'!A:G,7,0),""),"")</f>
        <v>Open</v>
      </c>
      <c r="G29" s="110" t="n">
        <f aca="false">IF('ROSI &amp; Prioritization'!D16&lt;&gt;"",'ROSI &amp; Prioritization'!D16,"")</f>
        <v>122500</v>
      </c>
      <c r="H29" s="110" t="n">
        <f aca="false">IF('ROSI &amp; Prioritization'!E16&lt;&gt;"",'ROSI &amp; Prioritization'!E16,"")</f>
        <v>55000</v>
      </c>
      <c r="I29" s="111" t="n">
        <f aca="false">IF('ROSI &amp; Prioritization'!F16&lt;&gt;"",'ROSI &amp; Prioritization'!F16,"")</f>
        <v>0.75</v>
      </c>
      <c r="J29" s="110" t="n">
        <f aca="false">IF('ROSI &amp; Prioritization'!G16&lt;&gt;"",'ROSI &amp; Prioritization'!G16,"")</f>
        <v>91875</v>
      </c>
      <c r="K29" s="112" t="n">
        <f aca="false">IF('ROSI &amp; Prioritization'!H16&lt;&gt;"",'ROSI &amp; Prioritization'!H16,"")</f>
        <v>0.670454545454545</v>
      </c>
      <c r="L29" s="113" t="str">
        <f aca="false">IF(K29="","",IF(K29&gt;20,"TIER 1 — IMMEDIATE",IF(K29&gt;=10,"TIER 2 — HIGH PRIORITY",IF(K29&gt;=3,"TIER 3 — STANDARD",IF(K29&gt;=1,"TIER 4 — MONITOR","TIER 5 — DEPRIORITIZE")))))</f>
        <v>TIER 5 — DEPRIORITIZE</v>
      </c>
      <c r="M29" s="114" t="n">
        <f aca="true">IF(B29&lt;&gt;"",IFERROR(TODAY()-VLOOKUP(B29,'Issue Register'!A:D,4,0),""),"")</f>
        <v>561</v>
      </c>
      <c r="N29" s="22" t="str">
        <f aca="false">IF(K29="","",IF(K29&gt;20,"Immediate — no budget gate",IF(K29&gt;=10,"Fix within 30 days",IF(K29&gt;=3,"Schedule in 90-day roadmap",IF(K29&gt;=1,"Accept or transfer risk","Formally accept — deprioritize")))))</f>
        <v>Formally accept — deprioritize</v>
      </c>
    </row>
    <row r="30" customFormat="false" ht="31.5" hidden="false" customHeight="true" outlineLevel="0" collapsed="false">
      <c r="A30" s="99" t="n">
        <f aca="false">IF('ROSI &amp; Prioritization'!B17&lt;&gt;"",13,"")</f>
        <v>13</v>
      </c>
      <c r="B30" s="100" t="str">
        <f aca="false">IF('ROSI &amp; Prioritization'!A17&lt;&gt;"",'ROSI &amp; Prioritization'!A17,"")</f>
        <v>SEC-007</v>
      </c>
      <c r="C30" s="101" t="str">
        <f aca="false">IF('ROSI &amp; Prioritization'!B17&lt;&gt;"",'ROSI &amp; Prioritization'!B17,"")</f>
        <v>Missing Security Headers</v>
      </c>
      <c r="D30" s="100" t="str">
        <f aca="false">IF(B30&lt;&gt;"",IFERROR(VLOOKUP(B30,'Issue Register'!A:H,8,0),""),"")</f>
        <v>Application</v>
      </c>
      <c r="E30" s="100" t="str">
        <f aca="false">IF('ROSI &amp; Prioritization'!C17&lt;&gt;"",'ROSI &amp; Prioritization'!C17,"")</f>
        <v>Low</v>
      </c>
      <c r="F30" s="100" t="str">
        <f aca="false">IF(B30&lt;&gt;"",IFERROR(VLOOKUP(B30,'Issue Register'!A:G,7,0),""),"")</f>
        <v>Open</v>
      </c>
      <c r="G30" s="102" t="n">
        <f aca="false">IF('ROSI &amp; Prioritization'!D17&lt;&gt;"",'ROSI &amp; Prioritization'!D17,"")</f>
        <v>7500</v>
      </c>
      <c r="H30" s="102" t="n">
        <f aca="false">IF('ROSI &amp; Prioritization'!E17&lt;&gt;"",'ROSI &amp; Prioritization'!E17,"")</f>
        <v>5000</v>
      </c>
      <c r="I30" s="103" t="n">
        <f aca="false">IF('ROSI &amp; Prioritization'!F17&lt;&gt;"",'ROSI &amp; Prioritization'!F17,"")</f>
        <v>0.95</v>
      </c>
      <c r="J30" s="102" t="n">
        <f aca="false">IF('ROSI &amp; Prioritization'!G17&lt;&gt;"",'ROSI &amp; Prioritization'!G17,"")</f>
        <v>7125</v>
      </c>
      <c r="K30" s="104" t="n">
        <f aca="false">IF('ROSI &amp; Prioritization'!H17&lt;&gt;"",'ROSI &amp; Prioritization'!H17,"")</f>
        <v>0.425</v>
      </c>
      <c r="L30" s="105" t="str">
        <f aca="false">IF(K30="","",IF(K30&gt;20,"TIER 1 — IMMEDIATE",IF(K30&gt;=10,"TIER 2 — HIGH PRIORITY",IF(K30&gt;=3,"TIER 3 — STANDARD",IF(K30&gt;=1,"TIER 4 — MONITOR","TIER 5 — DEPRIORITIZE")))))</f>
        <v>TIER 5 — DEPRIORITIZE</v>
      </c>
      <c r="M30" s="106" t="n">
        <f aca="true">IF(B30&lt;&gt;"",IFERROR(TODAY()-VLOOKUP(B30,'Issue Register'!A:D,4,0),""),"")</f>
        <v>582</v>
      </c>
      <c r="N30" s="23" t="str">
        <f aca="false">IF(K30="","",IF(K30&gt;20,"Immediate — no budget gate",IF(K30&gt;=10,"Fix within 30 days",IF(K30&gt;=3,"Schedule in 90-day roadmap",IF(K30&gt;=1,"Accept or transfer risk","Formally accept — deprioritize")))))</f>
        <v>Formally accept — deprioritize</v>
      </c>
    </row>
    <row r="31" customFormat="false" ht="31.5" hidden="false" customHeight="true" outlineLevel="0" collapsed="false">
      <c r="A31" s="107" t="str">
        <f aca="false">IF('ROSI &amp; Prioritization'!B18&lt;&gt;"",14,"")</f>
        <v/>
      </c>
      <c r="B31" s="108" t="str">
        <f aca="false">IF('ROSI &amp; Prioritization'!A18&lt;&gt;"",'ROSI &amp; Prioritization'!A18,"")</f>
        <v/>
      </c>
      <c r="C31" s="109" t="str">
        <f aca="false">IF('ROSI &amp; Prioritization'!B18&lt;&gt;"",'ROSI &amp; Prioritization'!B18,"")</f>
        <v/>
      </c>
      <c r="D31" s="108" t="str">
        <f aca="false">IF(B31&lt;&gt;"",IFERROR(VLOOKUP(B31,'Issue Register'!A:H,8,0),""),"")</f>
        <v/>
      </c>
      <c r="E31" s="108" t="str">
        <f aca="false">IF('ROSI &amp; Prioritization'!C18&lt;&gt;"",'ROSI &amp; Prioritization'!C18,"")</f>
        <v/>
      </c>
      <c r="F31" s="108" t="str">
        <f aca="false">IF(B31&lt;&gt;"",IFERROR(VLOOKUP(B31,'Issue Register'!A:G,7,0),""),"")</f>
        <v/>
      </c>
      <c r="G31" s="110" t="str">
        <f aca="false">IF('ROSI &amp; Prioritization'!D18&lt;&gt;"",'ROSI &amp; Prioritization'!D18,"")</f>
        <v/>
      </c>
      <c r="H31" s="110" t="str">
        <f aca="false">IF('ROSI &amp; Prioritization'!E18&lt;&gt;"",'ROSI &amp; Prioritization'!E18,"")</f>
        <v/>
      </c>
      <c r="I31" s="111" t="str">
        <f aca="false">IF('ROSI &amp; Prioritization'!F18&lt;&gt;"",'ROSI &amp; Prioritization'!F18,"")</f>
        <v/>
      </c>
      <c r="J31" s="110" t="str">
        <f aca="false">IF('ROSI &amp; Prioritization'!G18&lt;&gt;"",'ROSI &amp; Prioritization'!G18,"")</f>
        <v/>
      </c>
      <c r="K31" s="112" t="str">
        <f aca="false">IF('ROSI &amp; Prioritization'!H18&lt;&gt;"",'ROSI &amp; Prioritization'!H18,"")</f>
        <v/>
      </c>
      <c r="L31" s="113" t="str">
        <f aca="false">IF(K31="","",IF(K31&gt;20,"TIER 1 — IMMEDIATE",IF(K31&gt;=10,"TIER 2 — HIGH PRIORITY",IF(K31&gt;=3,"TIER 3 — STANDARD",IF(K31&gt;=1,"TIER 4 — MONITOR","TIER 5 — DEPRIORITIZE")))))</f>
        <v/>
      </c>
      <c r="M31" s="114" t="str">
        <f aca="true">IF(B31&lt;&gt;"",IFERROR(TODAY()-VLOOKUP(B31,'Issue Register'!A:D,4,0),""),"")</f>
        <v/>
      </c>
      <c r="N31" s="22" t="str">
        <f aca="false">IF(K31="","",IF(K31&gt;20,"Immediate — no budget gate",IF(K31&gt;=10,"Fix within 30 days",IF(K31&gt;=3,"Schedule in 90-day roadmap",IF(K31&gt;=1,"Accept or transfer risk","Formally accept — deprioritize")))))</f>
        <v/>
      </c>
    </row>
    <row r="32" customFormat="false" ht="31.5" hidden="false" customHeight="true" outlineLevel="0" collapsed="false">
      <c r="A32" s="99" t="str">
        <f aca="false">IF('ROSI &amp; Prioritization'!B19&lt;&gt;"",15,"")</f>
        <v/>
      </c>
      <c r="B32" s="100" t="str">
        <f aca="false">IF('ROSI &amp; Prioritization'!A19&lt;&gt;"",'ROSI &amp; Prioritization'!A19,"")</f>
        <v/>
      </c>
      <c r="C32" s="101" t="str">
        <f aca="false">IF('ROSI &amp; Prioritization'!B19&lt;&gt;"",'ROSI &amp; Prioritization'!B19,"")</f>
        <v/>
      </c>
      <c r="D32" s="100" t="str">
        <f aca="false">IF(B32&lt;&gt;"",IFERROR(VLOOKUP(B32,'Issue Register'!A:H,8,0),""),"")</f>
        <v/>
      </c>
      <c r="E32" s="100" t="str">
        <f aca="false">IF('ROSI &amp; Prioritization'!C19&lt;&gt;"",'ROSI &amp; Prioritization'!C19,"")</f>
        <v/>
      </c>
      <c r="F32" s="100" t="str">
        <f aca="false">IF(B32&lt;&gt;"",IFERROR(VLOOKUP(B32,'Issue Register'!A:G,7,0),""),"")</f>
        <v/>
      </c>
      <c r="G32" s="102" t="str">
        <f aca="false">IF('ROSI &amp; Prioritization'!D19&lt;&gt;"",'ROSI &amp; Prioritization'!D19,"")</f>
        <v/>
      </c>
      <c r="H32" s="102" t="str">
        <f aca="false">IF('ROSI &amp; Prioritization'!E19&lt;&gt;"",'ROSI &amp; Prioritization'!E19,"")</f>
        <v/>
      </c>
      <c r="I32" s="103" t="str">
        <f aca="false">IF('ROSI &amp; Prioritization'!F19&lt;&gt;"",'ROSI &amp; Prioritization'!F19,"")</f>
        <v/>
      </c>
      <c r="J32" s="102" t="str">
        <f aca="false">IF('ROSI &amp; Prioritization'!G19&lt;&gt;"",'ROSI &amp; Prioritization'!G19,"")</f>
        <v/>
      </c>
      <c r="K32" s="104" t="str">
        <f aca="false">IF('ROSI &amp; Prioritization'!H19&lt;&gt;"",'ROSI &amp; Prioritization'!H19,"")</f>
        <v/>
      </c>
      <c r="L32" s="105" t="str">
        <f aca="false">IF(K32="","",IF(K32&gt;20,"TIER 1 — IMMEDIATE",IF(K32&gt;=10,"TIER 2 — HIGH PRIORITY",IF(K32&gt;=3,"TIER 3 — STANDARD",IF(K32&gt;=1,"TIER 4 — MONITOR","TIER 5 — DEPRIORITIZE")))))</f>
        <v/>
      </c>
      <c r="M32" s="106" t="str">
        <f aca="true">IF(B32&lt;&gt;"",IFERROR(TODAY()-VLOOKUP(B32,'Issue Register'!A:D,4,0),""),"")</f>
        <v/>
      </c>
      <c r="N32" s="23" t="str">
        <f aca="false">IF(K32="","",IF(K32&gt;20,"Immediate — no budget gate",IF(K32&gt;=10,"Fix within 30 days",IF(K32&gt;=3,"Schedule in 90-day roadmap",IF(K32&gt;=1,"Accept or transfer risk","Formally accept — deprioritize")))))</f>
        <v/>
      </c>
    </row>
    <row r="33" customFormat="false" ht="31.5" hidden="false" customHeight="true" outlineLevel="0" collapsed="false">
      <c r="A33" s="107" t="str">
        <f aca="false">IF('ROSI &amp; Prioritization'!B20&lt;&gt;"",16,"")</f>
        <v/>
      </c>
      <c r="B33" s="108" t="str">
        <f aca="false">IF('ROSI &amp; Prioritization'!A20&lt;&gt;"",'ROSI &amp; Prioritization'!A20,"")</f>
        <v>ROSI INTERPRETATION GUIDE &amp; INVESTMENT RECOMMENDATION</v>
      </c>
      <c r="C33" s="109" t="str">
        <f aca="false">IF('ROSI &amp; Prioritization'!B20&lt;&gt;"",'ROSI &amp; Prioritization'!B20,"")</f>
        <v/>
      </c>
      <c r="D33" s="108" t="str">
        <f aca="false">IF(B33&lt;&gt;"",IFERROR(VLOOKUP(B33,'Issue Register'!A:H,8,0),""),"")</f>
        <v/>
      </c>
      <c r="E33" s="108" t="str">
        <f aca="false">IF('ROSI &amp; Prioritization'!C20&lt;&gt;"",'ROSI &amp; Prioritization'!C20,"")</f>
        <v/>
      </c>
      <c r="F33" s="108" t="str">
        <f aca="false">IF(B33&lt;&gt;"",IFERROR(VLOOKUP(B33,'Issue Register'!A:G,7,0),""),"")</f>
        <v/>
      </c>
      <c r="G33" s="110" t="str">
        <f aca="false">IF('ROSI &amp; Prioritization'!D20&lt;&gt;"",'ROSI &amp; Prioritization'!D20,"")</f>
        <v/>
      </c>
      <c r="H33" s="110" t="str">
        <f aca="false">IF('ROSI &amp; Prioritization'!E20&lt;&gt;"",'ROSI &amp; Prioritization'!E20,"")</f>
        <v/>
      </c>
      <c r="I33" s="111" t="str">
        <f aca="false">IF('ROSI &amp; Prioritization'!F20&lt;&gt;"",'ROSI &amp; Prioritization'!F20,"")</f>
        <v/>
      </c>
      <c r="J33" s="110" t="str">
        <f aca="false">IF('ROSI &amp; Prioritization'!G20&lt;&gt;"",'ROSI &amp; Prioritization'!G20,"")</f>
        <v/>
      </c>
      <c r="K33" s="112" t="str">
        <f aca="false">IF('ROSI &amp; Prioritization'!H20&lt;&gt;"",'ROSI &amp; Prioritization'!H20,"")</f>
        <v/>
      </c>
      <c r="L33" s="113" t="str">
        <f aca="false">IF(K33="","",IF(K33&gt;20,"TIER 1 — IMMEDIATE",IF(K33&gt;=10,"TIER 2 — HIGH PRIORITY",IF(K33&gt;=3,"TIER 3 — STANDARD",IF(K33&gt;=1,"TIER 4 — MONITOR","TIER 5 — DEPRIORITIZE")))))</f>
        <v/>
      </c>
      <c r="M33" s="114" t="str">
        <f aca="true">IF(B33&lt;&gt;"",IFERROR(TODAY()-VLOOKUP(B33,'Issue Register'!A:D,4,0),""),"")</f>
        <v/>
      </c>
      <c r="N33" s="22" t="str">
        <f aca="false">IF(K33="","",IF(K33&gt;20,"Immediate — no budget gate",IF(K33&gt;=10,"Fix within 30 days",IF(K33&gt;=3,"Schedule in 90-day roadmap",IF(K33&gt;=1,"Accept or transfer risk","Formally accept — deprioritize")))))</f>
        <v/>
      </c>
    </row>
    <row r="34" customFormat="false" ht="31.5" hidden="false" customHeight="true" outlineLevel="0" collapsed="false">
      <c r="A34" s="99" t="n">
        <f aca="false">IF('ROSI &amp; Prioritization'!B21&lt;&gt;"",17,"")</f>
        <v>17</v>
      </c>
      <c r="B34" s="100" t="str">
        <f aca="false">IF('ROSI &amp; Prioritization'!A21&lt;&gt;"",'ROSI &amp; Prioritization'!A21,"")</f>
        <v>ROSI Band</v>
      </c>
      <c r="C34" s="101" t="str">
        <f aca="false">IF('ROSI &amp; Prioritization'!B21&lt;&gt;"",'ROSI &amp; Prioritization'!B21,"")</f>
        <v>Recommended Action</v>
      </c>
      <c r="D34" s="100" t="str">
        <f aca="false">IF(B34&lt;&gt;"",IFERROR(VLOOKUP(B34,'Issue Register'!A:H,8,0),""),"")</f>
        <v/>
      </c>
      <c r="E34" s="100" t="str">
        <f aca="false">IF('ROSI &amp; Prioritization'!C21&lt;&gt;"",'ROSI &amp; Prioritization'!C21,"")</f>
        <v/>
      </c>
      <c r="F34" s="100" t="str">
        <f aca="false">IF(B34&lt;&gt;"",IFERROR(VLOOKUP(B34,'Issue Register'!A:G,7,0),""),"")</f>
        <v/>
      </c>
      <c r="G34" s="102" t="str">
        <f aca="false">IF('ROSI &amp; Prioritization'!D21&lt;&gt;"",'ROSI &amp; Prioritization'!D21,"")</f>
        <v/>
      </c>
      <c r="H34" s="102" t="str">
        <f aca="false">IF('ROSI &amp; Prioritization'!E21&lt;&gt;"",'ROSI &amp; Prioritization'!E21,"")</f>
        <v/>
      </c>
      <c r="I34" s="103" t="str">
        <f aca="false">IF('ROSI &amp; Prioritization'!F21&lt;&gt;"",'ROSI &amp; Prioritization'!F21,"")</f>
        <v/>
      </c>
      <c r="J34" s="102" t="str">
        <f aca="false">IF('ROSI &amp; Prioritization'!G21&lt;&gt;"",'ROSI &amp; Prioritization'!G21,"")</f>
        <v/>
      </c>
      <c r="K34" s="104" t="str">
        <f aca="false">IF('ROSI &amp; Prioritization'!H21&lt;&gt;"",'ROSI &amp; Prioritization'!H21,"")</f>
        <v/>
      </c>
      <c r="L34" s="105" t="str">
        <f aca="false">IF(K34="","",IF(K34&gt;20,"TIER 1 — IMMEDIATE",IF(K34&gt;=10,"TIER 2 — HIGH PRIORITY",IF(K34&gt;=3,"TIER 3 — STANDARD",IF(K34&gt;=1,"TIER 4 — MONITOR","TIER 5 — DEPRIORITIZE")))))</f>
        <v/>
      </c>
      <c r="M34" s="106" t="str">
        <f aca="true">IF(B34&lt;&gt;"",IFERROR(TODAY()-VLOOKUP(B34,'Issue Register'!A:D,4,0),""),"")</f>
        <v/>
      </c>
      <c r="N34" s="23" t="str">
        <f aca="false">IF(K34="","",IF(K34&gt;20,"Immediate — no budget gate",IF(K34&gt;=10,"Fix within 30 days",IF(K34&gt;=3,"Schedule in 90-day roadmap",IF(K34&gt;=1,"Accept or transfer risk","Formally accept — deprioritize")))))</f>
        <v/>
      </c>
    </row>
    <row r="35" customFormat="false" ht="31.5" hidden="false" customHeight="true" outlineLevel="0" collapsed="false">
      <c r="A35" s="107" t="n">
        <f aca="false">IF('ROSI &amp; Prioritization'!B22&lt;&gt;"",18,"")</f>
        <v>18</v>
      </c>
      <c r="B35" s="108" t="str">
        <f aca="false">IF('ROSI &amp; Prioritization'!A22&lt;&gt;"",'ROSI &amp; Prioritization'!A22,"")</f>
        <v>ROSI &gt; 10x</v>
      </c>
      <c r="C35" s="109" t="str">
        <f aca="false">IF('ROSI &amp; Prioritization'!B22&lt;&gt;"",'ROSI &amp; Prioritization'!B22,"")</f>
        <v>Exceptional — Immediate prioritization; funding should not be a barrier</v>
      </c>
      <c r="D35" s="108" t="str">
        <f aca="false">IF(B35&lt;&gt;"",IFERROR(VLOOKUP(B35,'Issue Register'!A:H,8,0),""),"")</f>
        <v/>
      </c>
      <c r="E35" s="108" t="str">
        <f aca="false">IF('ROSI &amp; Prioritization'!C22&lt;&gt;"",'ROSI &amp; Prioritization'!C22,"")</f>
        <v/>
      </c>
      <c r="F35" s="108" t="str">
        <f aca="false">IF(B35&lt;&gt;"",IFERROR(VLOOKUP(B35,'Issue Register'!A:G,7,0),""),"")</f>
        <v/>
      </c>
      <c r="G35" s="110" t="str">
        <f aca="false">IF('ROSI &amp; Prioritization'!D22&lt;&gt;"",'ROSI &amp; Prioritization'!D22,"")</f>
        <v/>
      </c>
      <c r="H35" s="110" t="str">
        <f aca="false">IF('ROSI &amp; Prioritization'!E22&lt;&gt;"",'ROSI &amp; Prioritization'!E22,"")</f>
        <v/>
      </c>
      <c r="I35" s="111" t="str">
        <f aca="false">IF('ROSI &amp; Prioritization'!F22&lt;&gt;"",'ROSI &amp; Prioritization'!F22,"")</f>
        <v/>
      </c>
      <c r="J35" s="110" t="str">
        <f aca="false">IF('ROSI &amp; Prioritization'!G22&lt;&gt;"",'ROSI &amp; Prioritization'!G22,"")</f>
        <v/>
      </c>
      <c r="K35" s="112" t="str">
        <f aca="false">IF('ROSI &amp; Prioritization'!H22&lt;&gt;"",'ROSI &amp; Prioritization'!H22,"")</f>
        <v/>
      </c>
      <c r="L35" s="113" t="str">
        <f aca="false">IF(K35="","",IF(K35&gt;20,"TIER 1 — IMMEDIATE",IF(K35&gt;=10,"TIER 2 — HIGH PRIORITY",IF(K35&gt;=3,"TIER 3 — STANDARD",IF(K35&gt;=1,"TIER 4 — MONITOR","TIER 5 — DEPRIORITIZE")))))</f>
        <v/>
      </c>
      <c r="M35" s="114" t="str">
        <f aca="true">IF(B35&lt;&gt;"",IFERROR(TODAY()-VLOOKUP(B35,'Issue Register'!A:D,4,0),""),"")</f>
        <v/>
      </c>
      <c r="N35" s="22" t="str">
        <f aca="false">IF(K35="","",IF(K35&gt;20,"Immediate — no budget gate",IF(K35&gt;=10,"Fix within 30 days",IF(K35&gt;=3,"Schedule in 90-day roadmap",IF(K35&gt;=1,"Accept or transfer risk","Formally accept — deprioritize")))))</f>
        <v/>
      </c>
    </row>
    <row r="36" customFormat="false" ht="31.5" hidden="false" customHeight="true" outlineLevel="0" collapsed="false">
      <c r="A36" s="99" t="n">
        <f aca="false">IF('ROSI &amp; Prioritization'!B23&lt;&gt;"",19,"")</f>
        <v>19</v>
      </c>
      <c r="B36" s="100" t="str">
        <f aca="false">IF('ROSI &amp; Prioritization'!A23&lt;&gt;"",'ROSI &amp; Prioritization'!A23,"")</f>
        <v>ROSI 5x–10x</v>
      </c>
      <c r="C36" s="101" t="str">
        <f aca="false">IF('ROSI &amp; Prioritization'!B23&lt;&gt;"",'ROSI &amp; Prioritization'!B23,"")</f>
        <v>Strong — High priority; include in next sprint/quarter budget</v>
      </c>
      <c r="D36" s="100" t="str">
        <f aca="false">IF(B36&lt;&gt;"",IFERROR(VLOOKUP(B36,'Issue Register'!A:H,8,0),""),"")</f>
        <v/>
      </c>
      <c r="E36" s="100" t="str">
        <f aca="false">IF('ROSI &amp; Prioritization'!C23&lt;&gt;"",'ROSI &amp; Prioritization'!C23,"")</f>
        <v/>
      </c>
      <c r="F36" s="100" t="str">
        <f aca="false">IF(B36&lt;&gt;"",IFERROR(VLOOKUP(B36,'Issue Register'!A:G,7,0),""),"")</f>
        <v/>
      </c>
      <c r="G36" s="102" t="str">
        <f aca="false">IF('ROSI &amp; Prioritization'!D23&lt;&gt;"",'ROSI &amp; Prioritization'!D23,"")</f>
        <v/>
      </c>
      <c r="H36" s="102" t="str">
        <f aca="false">IF('ROSI &amp; Prioritization'!E23&lt;&gt;"",'ROSI &amp; Prioritization'!E23,"")</f>
        <v/>
      </c>
      <c r="I36" s="103" t="str">
        <f aca="false">IF('ROSI &amp; Prioritization'!F23&lt;&gt;"",'ROSI &amp; Prioritization'!F23,"")</f>
        <v/>
      </c>
      <c r="J36" s="102" t="str">
        <f aca="false">IF('ROSI &amp; Prioritization'!G23&lt;&gt;"",'ROSI &amp; Prioritization'!G23,"")</f>
        <v/>
      </c>
      <c r="K36" s="104" t="str">
        <f aca="false">IF('ROSI &amp; Prioritization'!H23&lt;&gt;"",'ROSI &amp; Prioritization'!H23,"")</f>
        <v/>
      </c>
      <c r="L36" s="105" t="str">
        <f aca="false">IF(K36="","",IF(K36&gt;20,"TIER 1 — IMMEDIATE",IF(K36&gt;=10,"TIER 2 — HIGH PRIORITY",IF(K36&gt;=3,"TIER 3 — STANDARD",IF(K36&gt;=1,"TIER 4 — MONITOR","TIER 5 — DEPRIORITIZE")))))</f>
        <v/>
      </c>
      <c r="M36" s="106" t="str">
        <f aca="true">IF(B36&lt;&gt;"",IFERROR(TODAY()-VLOOKUP(B36,'Issue Register'!A:D,4,0),""),"")</f>
        <v/>
      </c>
      <c r="N36" s="23" t="str">
        <f aca="false">IF(K36="","",IF(K36&gt;20,"Immediate — no budget gate",IF(K36&gt;=10,"Fix within 30 days",IF(K36&gt;=3,"Schedule in 90-day roadmap",IF(K36&gt;=1,"Accept or transfer risk","Formally accept — deprioritize")))))</f>
        <v/>
      </c>
    </row>
    <row r="37" customFormat="false" ht="31.5" hidden="false" customHeight="true" outlineLevel="0" collapsed="false">
      <c r="A37" s="107" t="n">
        <f aca="false">IF('ROSI &amp; Prioritization'!B24&lt;&gt;"",20,"")</f>
        <v>20</v>
      </c>
      <c r="B37" s="108" t="str">
        <f aca="false">IF('ROSI &amp; Prioritization'!A24&lt;&gt;"",'ROSI &amp; Prioritization'!A24,"")</f>
        <v>ROSI 2x–5x</v>
      </c>
      <c r="C37" s="109" t="str">
        <f aca="false">IF('ROSI &amp; Prioritization'!B24&lt;&gt;"",'ROSI &amp; Prioritization'!B24,"")</f>
        <v>Good — Standard prioritization; schedule within risk appetite window</v>
      </c>
      <c r="D37" s="108" t="str">
        <f aca="false">IF(B37&lt;&gt;"",IFERROR(VLOOKUP(B37,'Issue Register'!A:H,8,0),""),"")</f>
        <v/>
      </c>
      <c r="E37" s="108" t="str">
        <f aca="false">IF('ROSI &amp; Prioritization'!C24&lt;&gt;"",'ROSI &amp; Prioritization'!C24,"")</f>
        <v/>
      </c>
      <c r="F37" s="108" t="str">
        <f aca="false">IF(B37&lt;&gt;"",IFERROR(VLOOKUP(B37,'Issue Register'!A:G,7,0),""),"")</f>
        <v/>
      </c>
      <c r="G37" s="110" t="str">
        <f aca="false">IF('ROSI &amp; Prioritization'!D24&lt;&gt;"",'ROSI &amp; Prioritization'!D24,"")</f>
        <v/>
      </c>
      <c r="H37" s="110" t="str">
        <f aca="false">IF('ROSI &amp; Prioritization'!E24&lt;&gt;"",'ROSI &amp; Prioritization'!E24,"")</f>
        <v/>
      </c>
      <c r="I37" s="111" t="str">
        <f aca="false">IF('ROSI &amp; Prioritization'!F24&lt;&gt;"",'ROSI &amp; Prioritization'!F24,"")</f>
        <v/>
      </c>
      <c r="J37" s="110" t="str">
        <f aca="false">IF('ROSI &amp; Prioritization'!G24&lt;&gt;"",'ROSI &amp; Prioritization'!G24,"")</f>
        <v/>
      </c>
      <c r="K37" s="112" t="str">
        <f aca="false">IF('ROSI &amp; Prioritization'!H24&lt;&gt;"",'ROSI &amp; Prioritization'!H24,"")</f>
        <v/>
      </c>
      <c r="L37" s="113" t="str">
        <f aca="false">IF(K37="","",IF(K37&gt;20,"TIER 1 — IMMEDIATE",IF(K37&gt;=10,"TIER 2 — HIGH PRIORITY",IF(K37&gt;=3,"TIER 3 — STANDARD",IF(K37&gt;=1,"TIER 4 — MONITOR","TIER 5 — DEPRIORITIZE")))))</f>
        <v/>
      </c>
      <c r="M37" s="114" t="str">
        <f aca="true">IF(B37&lt;&gt;"",IFERROR(TODAY()-VLOOKUP(B37,'Issue Register'!A:D,4,0),""),"")</f>
        <v/>
      </c>
      <c r="N37" s="22" t="str">
        <f aca="false">IF(K37="","",IF(K37&gt;20,"Immediate — no budget gate",IF(K37&gt;=10,"Fix within 30 days",IF(K37&gt;=3,"Schedule in 90-day roadmap",IF(K37&gt;=1,"Accept or transfer risk","Formally accept — deprioritize")))))</f>
        <v/>
      </c>
    </row>
    <row r="38" customFormat="false" ht="31.5" hidden="false" customHeight="true" outlineLevel="0" collapsed="false">
      <c r="A38" s="99" t="n">
        <f aca="false">IF('ROSI &amp; Prioritization'!B25&lt;&gt;"",21,"")</f>
        <v>21</v>
      </c>
      <c r="B38" s="100" t="str">
        <f aca="false">IF('ROSI &amp; Prioritization'!A25&lt;&gt;"",'ROSI &amp; Prioritization'!A25,"")</f>
        <v>ROSI 1x–2x</v>
      </c>
      <c r="C38" s="101" t="str">
        <f aca="false">IF('ROSI &amp; Prioritization'!B25&lt;&gt;"",'ROSI &amp; Prioritization'!B25,"")</f>
        <v>Marginal — Evaluate vs. risk transfer (insurance) or risk acceptance</v>
      </c>
      <c r="D38" s="100" t="str">
        <f aca="false">IF(B38&lt;&gt;"",IFERROR(VLOOKUP(B38,'Issue Register'!A:H,8,0),""),"")</f>
        <v/>
      </c>
      <c r="E38" s="100" t="str">
        <f aca="false">IF('ROSI &amp; Prioritization'!C25&lt;&gt;"",'ROSI &amp; Prioritization'!C25,"")</f>
        <v/>
      </c>
      <c r="F38" s="100" t="str">
        <f aca="false">IF(B38&lt;&gt;"",IFERROR(VLOOKUP(B38,'Issue Register'!A:G,7,0),""),"")</f>
        <v/>
      </c>
      <c r="G38" s="102" t="str">
        <f aca="false">IF('ROSI &amp; Prioritization'!D25&lt;&gt;"",'ROSI &amp; Prioritization'!D25,"")</f>
        <v/>
      </c>
      <c r="H38" s="102" t="str">
        <f aca="false">IF('ROSI &amp; Prioritization'!E25&lt;&gt;"",'ROSI &amp; Prioritization'!E25,"")</f>
        <v/>
      </c>
      <c r="I38" s="103" t="str">
        <f aca="false">IF('ROSI &amp; Prioritization'!F25&lt;&gt;"",'ROSI &amp; Prioritization'!F25,"")</f>
        <v/>
      </c>
      <c r="J38" s="102" t="str">
        <f aca="false">IF('ROSI &amp; Prioritization'!G25&lt;&gt;"",'ROSI &amp; Prioritization'!G25,"")</f>
        <v/>
      </c>
      <c r="K38" s="104" t="str">
        <f aca="false">IF('ROSI &amp; Prioritization'!H25&lt;&gt;"",'ROSI &amp; Prioritization'!H25,"")</f>
        <v/>
      </c>
      <c r="L38" s="105" t="str">
        <f aca="false">IF(K38="","",IF(K38&gt;20,"TIER 1 — IMMEDIATE",IF(K38&gt;=10,"TIER 2 — HIGH PRIORITY",IF(K38&gt;=3,"TIER 3 — STANDARD",IF(K38&gt;=1,"TIER 4 — MONITOR","TIER 5 — DEPRIORITIZE")))))</f>
        <v/>
      </c>
      <c r="M38" s="106" t="str">
        <f aca="true">IF(B38&lt;&gt;"",IFERROR(TODAY()-VLOOKUP(B38,'Issue Register'!A:D,4,0),""),"")</f>
        <v/>
      </c>
      <c r="N38" s="23" t="str">
        <f aca="false">IF(K38="","",IF(K38&gt;20,"Immediate — no budget gate",IF(K38&gt;=10,"Fix within 30 days",IF(K38&gt;=3,"Schedule in 90-day roadmap",IF(K38&gt;=1,"Accept or transfer risk","Formally accept — deprioritize")))))</f>
        <v/>
      </c>
    </row>
    <row r="39" customFormat="false" ht="31.5" hidden="false" customHeight="true" outlineLevel="0" collapsed="false">
      <c r="A39" s="107" t="n">
        <f aca="false">IF('ROSI &amp; Prioritization'!B26&lt;&gt;"",22,"")</f>
        <v>22</v>
      </c>
      <c r="B39" s="108" t="str">
        <f aca="false">IF('ROSI &amp; Prioritization'!A26&lt;&gt;"",'ROSI &amp; Prioritization'!A26,"")</f>
        <v>ROSI &lt; 1x</v>
      </c>
      <c r="C39" s="109" t="str">
        <f aca="false">IF('ROSI &amp; Prioritization'!B26&lt;&gt;"",'ROSI &amp; Prioritization'!B26,"")</f>
        <v>Poor — Consider risk transfer, compensating controls, or formal acceptance</v>
      </c>
      <c r="D39" s="108" t="str">
        <f aca="false">IF(B39&lt;&gt;"",IFERROR(VLOOKUP(B39,'Issue Register'!A:H,8,0),""),"")</f>
        <v/>
      </c>
      <c r="E39" s="108" t="str">
        <f aca="false">IF('ROSI &amp; Prioritization'!C26&lt;&gt;"",'ROSI &amp; Prioritization'!C26,"")</f>
        <v/>
      </c>
      <c r="F39" s="108" t="str">
        <f aca="false">IF(B39&lt;&gt;"",IFERROR(VLOOKUP(B39,'Issue Register'!A:G,7,0),""),"")</f>
        <v/>
      </c>
      <c r="G39" s="110" t="str">
        <f aca="false">IF('ROSI &amp; Prioritization'!D26&lt;&gt;"",'ROSI &amp; Prioritization'!D26,"")</f>
        <v/>
      </c>
      <c r="H39" s="110" t="str">
        <f aca="false">IF('ROSI &amp; Prioritization'!E26&lt;&gt;"",'ROSI &amp; Prioritization'!E26,"")</f>
        <v/>
      </c>
      <c r="I39" s="111" t="str">
        <f aca="false">IF('ROSI &amp; Prioritization'!F26&lt;&gt;"",'ROSI &amp; Prioritization'!F26,"")</f>
        <v/>
      </c>
      <c r="J39" s="110" t="str">
        <f aca="false">IF('ROSI &amp; Prioritization'!G26&lt;&gt;"",'ROSI &amp; Prioritization'!G26,"")</f>
        <v/>
      </c>
      <c r="K39" s="112" t="str">
        <f aca="false">IF('ROSI &amp; Prioritization'!H26&lt;&gt;"",'ROSI &amp; Prioritization'!H26,"")</f>
        <v/>
      </c>
      <c r="L39" s="113" t="str">
        <f aca="false">IF(K39="","",IF(K39&gt;20,"TIER 1 — IMMEDIATE",IF(K39&gt;=10,"TIER 2 — HIGH PRIORITY",IF(K39&gt;=3,"TIER 3 — STANDARD",IF(K39&gt;=1,"TIER 4 — MONITOR","TIER 5 — DEPRIORITIZE")))))</f>
        <v/>
      </c>
      <c r="M39" s="114" t="str">
        <f aca="true">IF(B39&lt;&gt;"",IFERROR(TODAY()-VLOOKUP(B39,'Issue Register'!A:D,4,0),""),"")</f>
        <v/>
      </c>
      <c r="N39" s="22" t="str">
        <f aca="false">IF(K39="","",IF(K39&gt;20,"Immediate — no budget gate",IF(K39&gt;=10,"Fix within 30 days",IF(K39&gt;=3,"Schedule in 90-day roadmap",IF(K39&gt;=1,"Accept or transfer risk","Formally accept — deprioritize")))))</f>
        <v/>
      </c>
    </row>
    <row r="40" customFormat="false" ht="31.5" hidden="false" customHeight="true" outlineLevel="0" collapsed="false">
      <c r="A40" s="99" t="n">
        <f aca="false">IF('ROSI &amp; Prioritization'!B27&lt;&gt;"",23,"")</f>
        <v>23</v>
      </c>
      <c r="B40" s="100" t="str">
        <f aca="false">IF('ROSI &amp; Prioritization'!A27&lt;&gt;"",'ROSI &amp; Prioritization'!A27,"")</f>
        <v>Negative ROSI</v>
      </c>
      <c r="C40" s="101" t="str">
        <f aca="false">IF('ROSI &amp; Prioritization'!B27&lt;&gt;"",'ROSI &amp; Prioritization'!B27,"")</f>
        <v>Remediation cost exceeds expected ALE — formally accept or transfer risk</v>
      </c>
      <c r="D40" s="100" t="str">
        <f aca="false">IF(B40&lt;&gt;"",IFERROR(VLOOKUP(B40,'Issue Register'!A:H,8,0),""),"")</f>
        <v/>
      </c>
      <c r="E40" s="100" t="str">
        <f aca="false">IF('ROSI &amp; Prioritization'!C27&lt;&gt;"",'ROSI &amp; Prioritization'!C27,"")</f>
        <v/>
      </c>
      <c r="F40" s="100" t="str">
        <f aca="false">IF(B40&lt;&gt;"",IFERROR(VLOOKUP(B40,'Issue Register'!A:G,7,0),""),"")</f>
        <v/>
      </c>
      <c r="G40" s="102" t="str">
        <f aca="false">IF('ROSI &amp; Prioritization'!D27&lt;&gt;"",'ROSI &amp; Prioritization'!D27,"")</f>
        <v/>
      </c>
      <c r="H40" s="102" t="str">
        <f aca="false">IF('ROSI &amp; Prioritization'!E27&lt;&gt;"",'ROSI &amp; Prioritization'!E27,"")</f>
        <v/>
      </c>
      <c r="I40" s="103" t="str">
        <f aca="false">IF('ROSI &amp; Prioritization'!F27&lt;&gt;"",'ROSI &amp; Prioritization'!F27,"")</f>
        <v/>
      </c>
      <c r="J40" s="102" t="str">
        <f aca="false">IF('ROSI &amp; Prioritization'!G27&lt;&gt;"",'ROSI &amp; Prioritization'!G27,"")</f>
        <v/>
      </c>
      <c r="K40" s="104" t="str">
        <f aca="false">IF('ROSI &amp; Prioritization'!H27&lt;&gt;"",'ROSI &amp; Prioritization'!H27,"")</f>
        <v/>
      </c>
      <c r="L40" s="105" t="str">
        <f aca="false">IF(K40="","",IF(K40&gt;20,"TIER 1 — IMMEDIATE",IF(K40&gt;=10,"TIER 2 — HIGH PRIORITY",IF(K40&gt;=3,"TIER 3 — STANDARD",IF(K40&gt;=1,"TIER 4 — MONITOR","TIER 5 — DEPRIORITIZE")))))</f>
        <v/>
      </c>
      <c r="M40" s="106" t="str">
        <f aca="true">IF(B40&lt;&gt;"",IFERROR(TODAY()-VLOOKUP(B40,'Issue Register'!A:D,4,0),""),"")</f>
        <v/>
      </c>
      <c r="N40" s="23" t="str">
        <f aca="false">IF(K40="","",IF(K40&gt;20,"Immediate — no budget gate",IF(K40&gt;=10,"Fix within 30 days",IF(K40&gt;=3,"Schedule in 90-day roadmap",IF(K40&gt;=1,"Accept or transfer risk","Formally accept — deprioritize")))))</f>
        <v/>
      </c>
    </row>
    <row r="41" customFormat="false" ht="31.5" hidden="false" customHeight="true" outlineLevel="0" collapsed="false">
      <c r="A41" s="107" t="str">
        <f aca="false">IF('ROSI &amp; Prioritization'!B28&lt;&gt;"",24,"")</f>
        <v/>
      </c>
      <c r="B41" s="108" t="str">
        <f aca="false">IF('ROSI &amp; Prioritization'!A28&lt;&gt;"",'ROSI &amp; Prioritization'!A28,"")</f>
        <v/>
      </c>
      <c r="C41" s="109" t="str">
        <f aca="false">IF('ROSI &amp; Prioritization'!B28&lt;&gt;"",'ROSI &amp; Prioritization'!B28,"")</f>
        <v/>
      </c>
      <c r="D41" s="108" t="str">
        <f aca="false">IF(B41&lt;&gt;"",IFERROR(VLOOKUP(B41,'Issue Register'!A:H,8,0),""),"")</f>
        <v/>
      </c>
      <c r="E41" s="108" t="str">
        <f aca="false">IF('ROSI &amp; Prioritization'!C28&lt;&gt;"",'ROSI &amp; Prioritization'!C28,"")</f>
        <v/>
      </c>
      <c r="F41" s="108" t="str">
        <f aca="false">IF(B41&lt;&gt;"",IFERROR(VLOOKUP(B41,'Issue Register'!A:G,7,0),""),"")</f>
        <v/>
      </c>
      <c r="G41" s="110" t="str">
        <f aca="false">IF('ROSI &amp; Prioritization'!D28&lt;&gt;"",'ROSI &amp; Prioritization'!D28,"")</f>
        <v/>
      </c>
      <c r="H41" s="110" t="str">
        <f aca="false">IF('ROSI &amp; Prioritization'!E28&lt;&gt;"",'ROSI &amp; Prioritization'!E28,"")</f>
        <v/>
      </c>
      <c r="I41" s="111" t="str">
        <f aca="false">IF('ROSI &amp; Prioritization'!F28&lt;&gt;"",'ROSI &amp; Prioritization'!F28,"")</f>
        <v/>
      </c>
      <c r="J41" s="110" t="str">
        <f aca="false">IF('ROSI &amp; Prioritization'!G28&lt;&gt;"",'ROSI &amp; Prioritization'!G28,"")</f>
        <v/>
      </c>
      <c r="K41" s="112" t="str">
        <f aca="false">IF('ROSI &amp; Prioritization'!H28&lt;&gt;"",'ROSI &amp; Prioritization'!H28,"")</f>
        <v/>
      </c>
      <c r="L41" s="113" t="str">
        <f aca="false">IF(K41="","",IF(K41&gt;20,"TIER 1 — IMMEDIATE",IF(K41&gt;=10,"TIER 2 — HIGH PRIORITY",IF(K41&gt;=3,"TIER 3 — STANDARD",IF(K41&gt;=1,"TIER 4 — MONITOR","TIER 5 — DEPRIORITIZE")))))</f>
        <v/>
      </c>
      <c r="M41" s="114" t="str">
        <f aca="true">IF(B41&lt;&gt;"",IFERROR(TODAY()-VLOOKUP(B41,'Issue Register'!A:D,4,0),""),"")</f>
        <v/>
      </c>
      <c r="N41" s="22" t="str">
        <f aca="false">IF(K41="","",IF(K41&gt;20,"Immediate — no budget gate",IF(K41&gt;=10,"Fix within 30 days",IF(K41&gt;=3,"Schedule in 90-day roadmap",IF(K41&gt;=1,"Accept or transfer risk","Formally accept — deprioritize")))))</f>
        <v/>
      </c>
    </row>
    <row r="42" customFormat="false" ht="31.5" hidden="false" customHeight="true" outlineLevel="0" collapsed="false">
      <c r="A42" s="99" t="str">
        <f aca="false">IF('ROSI &amp; Prioritization'!B29&lt;&gt;"",25,"")</f>
        <v/>
      </c>
      <c r="B42" s="100" t="str">
        <f aca="false">IF('ROSI &amp; Prioritization'!A29&lt;&gt;"",'ROSI &amp; Prioritization'!A29,"")</f>
        <v/>
      </c>
      <c r="C42" s="101" t="str">
        <f aca="false">IF('ROSI &amp; Prioritization'!B29&lt;&gt;"",'ROSI &amp; Prioritization'!B29,"")</f>
        <v/>
      </c>
      <c r="D42" s="100" t="str">
        <f aca="false">IF(B42&lt;&gt;"",IFERROR(VLOOKUP(B42,'Issue Register'!A:H,8,0),""),"")</f>
        <v/>
      </c>
      <c r="E42" s="100" t="str">
        <f aca="false">IF('ROSI &amp; Prioritization'!C29&lt;&gt;"",'ROSI &amp; Prioritization'!C29,"")</f>
        <v/>
      </c>
      <c r="F42" s="100" t="str">
        <f aca="false">IF(B42&lt;&gt;"",IFERROR(VLOOKUP(B42,'Issue Register'!A:G,7,0),""),"")</f>
        <v/>
      </c>
      <c r="G42" s="102" t="str">
        <f aca="false">IF('ROSI &amp; Prioritization'!D29&lt;&gt;"",'ROSI &amp; Prioritization'!D29,"")</f>
        <v/>
      </c>
      <c r="H42" s="102" t="str">
        <f aca="false">IF('ROSI &amp; Prioritization'!E29&lt;&gt;"",'ROSI &amp; Prioritization'!E29,"")</f>
        <v/>
      </c>
      <c r="I42" s="103" t="str">
        <f aca="false">IF('ROSI &amp; Prioritization'!F29&lt;&gt;"",'ROSI &amp; Prioritization'!F29,"")</f>
        <v/>
      </c>
      <c r="J42" s="102" t="str">
        <f aca="false">IF('ROSI &amp; Prioritization'!G29&lt;&gt;"",'ROSI &amp; Prioritization'!G29,"")</f>
        <v/>
      </c>
      <c r="K42" s="104" t="str">
        <f aca="false">IF('ROSI &amp; Prioritization'!H29&lt;&gt;"",'ROSI &amp; Prioritization'!H29,"")</f>
        <v/>
      </c>
      <c r="L42" s="105" t="str">
        <f aca="false">IF(K42="","",IF(K42&gt;20,"TIER 1 — IMMEDIATE",IF(K42&gt;=10,"TIER 2 — HIGH PRIORITY",IF(K42&gt;=3,"TIER 3 — STANDARD",IF(K42&gt;=1,"TIER 4 — MONITOR","TIER 5 — DEPRIORITIZE")))))</f>
        <v/>
      </c>
      <c r="M42" s="106" t="str">
        <f aca="true">IF(B42&lt;&gt;"",IFERROR(TODAY()-VLOOKUP(B42,'Issue Register'!A:D,4,0),""),"")</f>
        <v/>
      </c>
      <c r="N42" s="23" t="str">
        <f aca="false">IF(K42="","",IF(K42&gt;20,"Immediate — no budget gate",IF(K42&gt;=10,"Fix within 30 days",IF(K42&gt;=3,"Schedule in 90-day roadmap",IF(K42&gt;=1,"Accept or transfer risk","Formally accept — deprioritize")))))</f>
        <v/>
      </c>
    </row>
    <row r="43" customFormat="false" ht="21.75" hidden="false" customHeight="true" outlineLevel="0" collapsed="false">
      <c r="A43" s="35" t="s">
        <v>247</v>
      </c>
      <c r="B43" s="35"/>
      <c r="C43" s="35"/>
      <c r="D43" s="35"/>
      <c r="E43" s="35"/>
      <c r="F43" s="35"/>
      <c r="G43" s="37" t="n">
        <f aca="false">SUMIF(F18:F42,"&lt;&gt;Closed",G18:G42)</f>
        <v>15102500</v>
      </c>
      <c r="H43" s="37" t="n">
        <f aca="false">SUMIF(F18:F42,"&lt;&gt;Closed",H18:H42)</f>
        <v>369000</v>
      </c>
      <c r="I43" s="36"/>
      <c r="J43" s="37" t="n">
        <f aca="false">SUMIF(F18:F42,"&lt;&gt;Closed",J18:J42)</f>
        <v>12069500</v>
      </c>
      <c r="K43" s="36"/>
      <c r="L43" s="36"/>
      <c r="M43" s="36"/>
      <c r="N43" s="36"/>
    </row>
    <row r="44" customFormat="false" ht="9.75" hidden="false" customHeight="true" outlineLevel="0" collapsed="false"/>
    <row r="45" customFormat="false" ht="21.75" hidden="false" customHeight="true" outlineLevel="0" collapsed="false">
      <c r="A45" s="24" t="s">
        <v>248</v>
      </c>
      <c r="B45" s="24"/>
      <c r="C45" s="24"/>
      <c r="D45" s="24"/>
      <c r="E45" s="24"/>
      <c r="F45" s="24"/>
      <c r="G45" s="24"/>
      <c r="H45" s="24"/>
      <c r="I45" s="24"/>
      <c r="J45" s="24"/>
      <c r="K45" s="24"/>
      <c r="L45" s="24"/>
      <c r="M45" s="24"/>
      <c r="N45" s="24"/>
    </row>
    <row r="46" customFormat="false" ht="19.5" hidden="false" customHeight="true" outlineLevel="0" collapsed="false">
      <c r="A46" s="115" t="s">
        <v>249</v>
      </c>
      <c r="B46" s="115" t="s">
        <v>108</v>
      </c>
      <c r="C46" s="115" t="s">
        <v>239</v>
      </c>
      <c r="D46" s="115" t="s">
        <v>241</v>
      </c>
      <c r="E46" s="115" t="s">
        <v>250</v>
      </c>
      <c r="F46" s="115" t="s">
        <v>125</v>
      </c>
      <c r="G46" s="115" t="s">
        <v>251</v>
      </c>
      <c r="H46" s="115" t="s">
        <v>252</v>
      </c>
      <c r="I46" s="115" t="s">
        <v>253</v>
      </c>
      <c r="J46" s="115" t="s">
        <v>254</v>
      </c>
    </row>
    <row r="47" customFormat="false" ht="31.5" hidden="false" customHeight="true" outlineLevel="0" collapsed="false">
      <c r="A47" s="116" t="s">
        <v>2</v>
      </c>
      <c r="B47" s="117" t="str">
        <f aca="false">B18</f>
        <v>REMEDIATION PRIORITIZATION — RANKED BY FINANCIAL RISK REDUCTION</v>
      </c>
      <c r="C47" s="118" t="str">
        <f aca="false">C18</f>
        <v/>
      </c>
      <c r="D47" s="119" t="str">
        <f aca="false">G18</f>
        <v/>
      </c>
      <c r="E47" s="119" t="str">
        <f aca="false">H18</f>
        <v/>
      </c>
      <c r="F47" s="120" t="str">
        <f aca="false">K18</f>
        <v/>
      </c>
      <c r="G47" s="119" t="str">
        <f aca="false">J18</f>
        <v/>
      </c>
      <c r="H47" s="28"/>
      <c r="I47" s="28"/>
      <c r="J47" s="28"/>
    </row>
    <row r="48" customFormat="false" ht="31.5" hidden="false" customHeight="true" outlineLevel="0" collapsed="false">
      <c r="A48" s="121" t="s">
        <v>5</v>
      </c>
      <c r="B48" s="122" t="str">
        <f aca="false">B19</f>
        <v>Issue ID</v>
      </c>
      <c r="C48" s="101" t="str">
        <f aca="false">C19</f>
        <v>Description</v>
      </c>
      <c r="D48" s="123" t="str">
        <f aca="false">G19</f>
        <v>ALE ($)</v>
      </c>
      <c r="E48" s="123" t="str">
        <f aca="false">H19</f>
        <v>Remediation
Cost ($)</v>
      </c>
      <c r="F48" s="124" t="str">
        <f aca="false">K19</f>
        <v>ROSI</v>
      </c>
      <c r="G48" s="123" t="str">
        <f aca="false">J19</f>
        <v>Financial
Benefit ($)</v>
      </c>
      <c r="H48" s="32"/>
      <c r="I48" s="32"/>
      <c r="J48" s="32"/>
    </row>
    <row r="49" customFormat="false" ht="31.5" hidden="false" customHeight="true" outlineLevel="0" collapsed="false">
      <c r="A49" s="116" t="s">
        <v>8</v>
      </c>
      <c r="B49" s="117" t="str">
        <f aca="false">B20</f>
        <v>SEC-001</v>
      </c>
      <c r="C49" s="118" t="str">
        <f aca="false">C20</f>
        <v>Unpatched RCE - Web App</v>
      </c>
      <c r="D49" s="119" t="n">
        <f aca="false">G20</f>
        <v>4500000</v>
      </c>
      <c r="E49" s="119" t="n">
        <f aca="false">H20</f>
        <v>25000</v>
      </c>
      <c r="F49" s="120" t="n">
        <f aca="false">K20</f>
        <v>161</v>
      </c>
      <c r="G49" s="119" t="n">
        <f aca="false">J20</f>
        <v>4050000</v>
      </c>
      <c r="H49" s="28"/>
      <c r="I49" s="28"/>
      <c r="J49" s="28"/>
    </row>
    <row r="50" customFormat="false" ht="31.5" hidden="false" customHeight="true" outlineLevel="0" collapsed="false">
      <c r="A50" s="121" t="s">
        <v>11</v>
      </c>
      <c r="B50" s="122" t="str">
        <f aca="false">B21</f>
        <v>SEC-006</v>
      </c>
      <c r="C50" s="101" t="str">
        <f aca="false">C21</f>
        <v>SQL Injection - Customer Portal</v>
      </c>
      <c r="D50" s="123" t="n">
        <f aca="false">G21</f>
        <v>4500000</v>
      </c>
      <c r="E50" s="123" t="n">
        <f aca="false">H21</f>
        <v>65000</v>
      </c>
      <c r="F50" s="124" t="n">
        <f aca="false">K21</f>
        <v>57.8461538461539</v>
      </c>
      <c r="G50" s="123" t="n">
        <f aca="false">J21</f>
        <v>3825000</v>
      </c>
      <c r="H50" s="32"/>
      <c r="I50" s="32"/>
      <c r="J50" s="32"/>
    </row>
    <row r="51" customFormat="false" ht="31.5" hidden="false" customHeight="true" outlineLevel="0" collapsed="false">
      <c r="A51" s="116" t="s">
        <v>14</v>
      </c>
      <c r="B51" s="117" t="str">
        <f aca="false">B22</f>
        <v>SEC-012</v>
      </c>
      <c r="C51" s="118" t="str">
        <f aca="false">C22</f>
        <v>Vendor Excessive Data Access</v>
      </c>
      <c r="D51" s="119" t="n">
        <f aca="false">G22</f>
        <v>975000</v>
      </c>
      <c r="E51" s="119" t="n">
        <f aca="false">H22</f>
        <v>15000</v>
      </c>
      <c r="F51" s="120" t="n">
        <f aca="false">K22</f>
        <v>38</v>
      </c>
      <c r="G51" s="119" t="n">
        <f aca="false">J22</f>
        <v>585000</v>
      </c>
      <c r="H51" s="28"/>
      <c r="I51" s="28"/>
      <c r="J51" s="28"/>
    </row>
  </sheetData>
  <mergeCells count="43">
    <mergeCell ref="A1:N1"/>
    <mergeCell ref="A2:N2"/>
    <mergeCell ref="A4:N4"/>
    <mergeCell ref="A5:B5"/>
    <mergeCell ref="C5:D5"/>
    <mergeCell ref="E5:F5"/>
    <mergeCell ref="G5:H5"/>
    <mergeCell ref="I5:J5"/>
    <mergeCell ref="K5:L5"/>
    <mergeCell ref="A6:B6"/>
    <mergeCell ref="C6:D6"/>
    <mergeCell ref="E6:F6"/>
    <mergeCell ref="G6:H6"/>
    <mergeCell ref="I6:J6"/>
    <mergeCell ref="K6:L6"/>
    <mergeCell ref="A8:N8"/>
    <mergeCell ref="A9:B9"/>
    <mergeCell ref="C9:D9"/>
    <mergeCell ref="E9:F9"/>
    <mergeCell ref="G9:H9"/>
    <mergeCell ref="A10:B10"/>
    <mergeCell ref="C10:D10"/>
    <mergeCell ref="E10:F10"/>
    <mergeCell ref="G10:H10"/>
    <mergeCell ref="A11:B11"/>
    <mergeCell ref="C11:D11"/>
    <mergeCell ref="E11:F11"/>
    <mergeCell ref="G11:H11"/>
    <mergeCell ref="A12:B12"/>
    <mergeCell ref="C12:D12"/>
    <mergeCell ref="E12:F12"/>
    <mergeCell ref="G12:H12"/>
    <mergeCell ref="A13:B13"/>
    <mergeCell ref="C13:D13"/>
    <mergeCell ref="E13:F13"/>
    <mergeCell ref="G13:H13"/>
    <mergeCell ref="A14:B14"/>
    <mergeCell ref="C14:D14"/>
    <mergeCell ref="E14:F14"/>
    <mergeCell ref="G14:H14"/>
    <mergeCell ref="A16:N16"/>
    <mergeCell ref="A43:F43"/>
    <mergeCell ref="A45:N4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00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3359375" defaultRowHeight="15" zeroHeight="false" outlineLevelRow="0" outlineLevelCol="0"/>
  <cols>
    <col collapsed="false" customWidth="true" hidden="false" outlineLevel="0" max="1" min="1" style="1" width="26"/>
    <col collapsed="false" customWidth="true" hidden="false" outlineLevel="0" max="6" min="2" style="1" width="14"/>
    <col collapsed="false" customWidth="true" hidden="false" outlineLevel="0" max="8" min="7" style="1" width="18"/>
    <col collapsed="false" customWidth="true" hidden="false" outlineLevel="0" max="9" min="9" style="1" width="14"/>
    <col collapsed="false" customWidth="true" hidden="false" outlineLevel="0" max="26" min="10" style="1" width="8.71"/>
  </cols>
  <sheetData>
    <row r="1" customFormat="false" ht="30" hidden="false" customHeight="true" outlineLevel="0" collapsed="false">
      <c r="A1" s="40" t="s">
        <v>255</v>
      </c>
      <c r="B1" s="40"/>
      <c r="C1" s="40"/>
      <c r="D1" s="40"/>
      <c r="E1" s="40"/>
      <c r="F1" s="40"/>
      <c r="G1" s="40"/>
      <c r="H1" s="40"/>
      <c r="I1" s="40"/>
    </row>
    <row r="2" customFormat="false" ht="15" hidden="false" customHeight="true" outlineLevel="0" collapsed="false"/>
    <row r="3" customFormat="false" ht="24" hidden="false" customHeight="true" outlineLevel="0" collapsed="false">
      <c r="A3" s="125" t="s">
        <v>256</v>
      </c>
      <c r="B3" s="125"/>
      <c r="C3" s="125"/>
      <c r="D3" s="125"/>
      <c r="E3" s="125"/>
      <c r="F3" s="125"/>
      <c r="G3" s="125"/>
      <c r="H3" s="125"/>
      <c r="I3" s="125"/>
    </row>
    <row r="4" customFormat="false" ht="27.75" hidden="false" customHeight="true" outlineLevel="0" collapsed="false">
      <c r="A4" s="42" t="s">
        <v>29</v>
      </c>
      <c r="B4" s="42" t="s">
        <v>257</v>
      </c>
      <c r="C4" s="42" t="s">
        <v>37</v>
      </c>
      <c r="D4" s="42" t="s">
        <v>44</v>
      </c>
      <c r="E4" s="42" t="s">
        <v>63</v>
      </c>
      <c r="F4" s="42" t="s">
        <v>165</v>
      </c>
      <c r="G4" s="42" t="s">
        <v>258</v>
      </c>
      <c r="H4" s="42" t="s">
        <v>259</v>
      </c>
      <c r="I4" s="42" t="s">
        <v>260</v>
      </c>
    </row>
    <row r="5" customFormat="false" ht="18" hidden="false" customHeight="true" outlineLevel="0" collapsed="false">
      <c r="A5" s="126" t="s">
        <v>261</v>
      </c>
      <c r="B5" s="127" t="n">
        <f aca="false">COUNTIF('Issue Register'!H:H,"Application Security")</f>
        <v>0</v>
      </c>
      <c r="C5" s="128" t="n">
        <f aca="false">COUNTIFS('Issue Register'!H:H,"Application Security",'Issue Register'!I:I,"Critical")</f>
        <v>0</v>
      </c>
      <c r="D5" s="128" t="n">
        <f aca="false">COUNTIFS('Issue Register'!H:H,"Application Security",'Issue Register'!I:I,"High")</f>
        <v>0</v>
      </c>
      <c r="E5" s="128" t="n">
        <f aca="false">COUNTIFS('Issue Register'!H:H,"Application Security",'Issue Register'!I:I,"Medium")</f>
        <v>0</v>
      </c>
      <c r="F5" s="128" t="n">
        <f aca="false">COUNTIFS('Issue Register'!H:H,"Application Security",'Issue Register'!I:I,"Low")</f>
        <v>0</v>
      </c>
      <c r="G5" s="129" t="n">
        <f aca="false">SUMIF('Issue Register'!H:H,"Application Security",'Issue Register'!Q:Q)</f>
        <v>0</v>
      </c>
      <c r="H5" s="130" t="n">
        <f aca="false">IFERROR(AVERAGEIF('Issue Register'!H:H,"Application Security",'Issue Register'!M:M),0)</f>
        <v>0</v>
      </c>
      <c r="I5" s="47" t="s">
        <v>262</v>
      </c>
    </row>
    <row r="6" customFormat="false" ht="18" hidden="false" customHeight="true" outlineLevel="0" collapsed="false">
      <c r="A6" s="131" t="s">
        <v>36</v>
      </c>
      <c r="B6" s="132" t="n">
        <f aca="false">COUNTIF('Issue Register'!H:H,"Infrastructure")</f>
        <v>3</v>
      </c>
      <c r="C6" s="133" t="n">
        <f aca="false">COUNTIFS('Issue Register'!H:H,"Infrastructure",'Issue Register'!I:I,"Critical")</f>
        <v>2</v>
      </c>
      <c r="D6" s="133" t="n">
        <f aca="false">COUNTIFS('Issue Register'!H:H,"Infrastructure",'Issue Register'!I:I,"High")</f>
        <v>1</v>
      </c>
      <c r="E6" s="133" t="n">
        <f aca="false">COUNTIFS('Issue Register'!H:H,"Infrastructure",'Issue Register'!I:I,"Medium")</f>
        <v>0</v>
      </c>
      <c r="F6" s="133" t="n">
        <f aca="false">COUNTIFS('Issue Register'!H:H,"Infrastructure",'Issue Register'!I:I,"Low")</f>
        <v>0</v>
      </c>
      <c r="G6" s="134" t="n">
        <f aca="false">SUMIF('Issue Register'!H:H,"Infrastructure",'Issue Register'!Q:Q)</f>
        <v>5700000</v>
      </c>
      <c r="H6" s="135" t="n">
        <f aca="false">IFERROR(AVERAGEIF('Issue Register'!H:H,"Infrastructure",'Issue Register'!M:M),0)</f>
        <v>6.23583333333333</v>
      </c>
      <c r="I6" s="47" t="s">
        <v>262</v>
      </c>
    </row>
    <row r="7" customFormat="false" ht="18" hidden="false" customHeight="true" outlineLevel="0" collapsed="false">
      <c r="A7" s="126" t="s">
        <v>50</v>
      </c>
      <c r="B7" s="127" t="n">
        <f aca="false">COUNTIF('Issue Register'!H:H,"Identity &amp; Access")</f>
        <v>2</v>
      </c>
      <c r="C7" s="128" t="n">
        <f aca="false">COUNTIFS('Issue Register'!H:H,"Identity &amp; Access",'Issue Register'!I:I,"Critical")</f>
        <v>0</v>
      </c>
      <c r="D7" s="128" t="n">
        <f aca="false">COUNTIFS('Issue Register'!H:H,"Identity &amp; Access",'Issue Register'!I:I,"High")</f>
        <v>1</v>
      </c>
      <c r="E7" s="128" t="n">
        <f aca="false">COUNTIFS('Issue Register'!H:H,"Identity &amp; Access",'Issue Register'!I:I,"Medium")</f>
        <v>1</v>
      </c>
      <c r="F7" s="128" t="n">
        <f aca="false">COUNTIFS('Issue Register'!H:H,"Identity &amp; Access",'Issue Register'!I:I,"Low")</f>
        <v>0</v>
      </c>
      <c r="G7" s="129" t="n">
        <f aca="false">SUMIF('Issue Register'!H:H,"Identity &amp; Access",'Issue Register'!Q:Q)</f>
        <v>1097500</v>
      </c>
      <c r="H7" s="130" t="n">
        <f aca="false">IFERROR(AVERAGEIF('Issue Register'!H:H,"Identity &amp; Access",'Issue Register'!M:M),0)</f>
        <v>2.16125</v>
      </c>
      <c r="I7" s="136" t="s">
        <v>263</v>
      </c>
    </row>
    <row r="8" customFormat="false" ht="18" hidden="false" customHeight="true" outlineLevel="0" collapsed="false">
      <c r="A8" s="131" t="s">
        <v>43</v>
      </c>
      <c r="B8" s="132" t="n">
        <f aca="false">COUNTIF('Issue Register'!H:H,"Data Protection")</f>
        <v>2</v>
      </c>
      <c r="C8" s="133" t="n">
        <f aca="false">COUNTIFS('Issue Register'!H:H,"Data Protection",'Issue Register'!I:I,"Critical")</f>
        <v>0</v>
      </c>
      <c r="D8" s="133" t="n">
        <f aca="false">COUNTIFS('Issue Register'!H:H,"Data Protection",'Issue Register'!I:I,"High")</f>
        <v>1</v>
      </c>
      <c r="E8" s="133" t="n">
        <f aca="false">COUNTIFS('Issue Register'!H:H,"Data Protection",'Issue Register'!I:I,"Medium")</f>
        <v>1</v>
      </c>
      <c r="F8" s="133" t="n">
        <f aca="false">COUNTIFS('Issue Register'!H:H,"Data Protection",'Issue Register'!I:I,"Low")</f>
        <v>0</v>
      </c>
      <c r="G8" s="134" t="n">
        <f aca="false">SUMIF('Issue Register'!H:H,"Data Protection",'Issue Register'!Q:Q)</f>
        <v>1097500</v>
      </c>
      <c r="H8" s="135" t="n">
        <f aca="false">IFERROR(AVERAGEIF('Issue Register'!H:H,"Data Protection",'Issue Register'!M:M),0)</f>
        <v>1.9075</v>
      </c>
      <c r="I8" s="136" t="s">
        <v>263</v>
      </c>
    </row>
    <row r="9" customFormat="false" ht="18" hidden="false" customHeight="true" outlineLevel="0" collapsed="false">
      <c r="A9" s="126" t="s">
        <v>264</v>
      </c>
      <c r="B9" s="127" t="n">
        <f aca="false">COUNTIF('Issue Register'!H:H,"Network Security")</f>
        <v>0</v>
      </c>
      <c r="C9" s="128" t="n">
        <f aca="false">COUNTIFS('Issue Register'!H:H,"Network Security",'Issue Register'!I:I,"Critical")</f>
        <v>0</v>
      </c>
      <c r="D9" s="128" t="n">
        <f aca="false">COUNTIFS('Issue Register'!H:H,"Network Security",'Issue Register'!I:I,"High")</f>
        <v>0</v>
      </c>
      <c r="E9" s="128" t="n">
        <f aca="false">COUNTIFS('Issue Register'!H:H,"Network Security",'Issue Register'!I:I,"Medium")</f>
        <v>0</v>
      </c>
      <c r="F9" s="128" t="n">
        <f aca="false">COUNTIFS('Issue Register'!H:H,"Network Security",'Issue Register'!I:I,"Low")</f>
        <v>0</v>
      </c>
      <c r="G9" s="129" t="n">
        <f aca="false">SUMIF('Issue Register'!H:H,"Network Security",'Issue Register'!Q:Q)</f>
        <v>0</v>
      </c>
      <c r="H9" s="130" t="n">
        <f aca="false">IFERROR(AVERAGEIF('Issue Register'!H:H,"Network Security",'Issue Register'!M:M),0)</f>
        <v>0</v>
      </c>
      <c r="I9" s="136" t="s">
        <v>263</v>
      </c>
    </row>
    <row r="10" customFormat="false" ht="18" hidden="false" customHeight="true" outlineLevel="0" collapsed="false">
      <c r="A10" s="131" t="s">
        <v>265</v>
      </c>
      <c r="B10" s="132" t="n">
        <f aca="false">COUNTIF('Issue Register'!H:H,"Endpoint Security")</f>
        <v>0</v>
      </c>
      <c r="C10" s="133" t="n">
        <f aca="false">COUNTIFS('Issue Register'!H:H,"Endpoint Security",'Issue Register'!I:I,"Critical")</f>
        <v>0</v>
      </c>
      <c r="D10" s="133" t="n">
        <f aca="false">COUNTIFS('Issue Register'!H:H,"Endpoint Security",'Issue Register'!I:I,"High")</f>
        <v>0</v>
      </c>
      <c r="E10" s="133" t="n">
        <f aca="false">COUNTIFS('Issue Register'!H:H,"Endpoint Security",'Issue Register'!I:I,"Medium")</f>
        <v>0</v>
      </c>
      <c r="F10" s="133" t="n">
        <f aca="false">COUNTIFS('Issue Register'!H:H,"Endpoint Security",'Issue Register'!I:I,"Low")</f>
        <v>0</v>
      </c>
      <c r="G10" s="134" t="n">
        <f aca="false">SUMIF('Issue Register'!H:H,"Endpoint Security",'Issue Register'!Q:Q)</f>
        <v>0</v>
      </c>
      <c r="H10" s="135" t="n">
        <f aca="false">IFERROR(AVERAGEIF('Issue Register'!H:H,"Endpoint Security",'Issue Register'!M:M),0)</f>
        <v>0</v>
      </c>
      <c r="I10" s="58" t="s">
        <v>266</v>
      </c>
    </row>
    <row r="11" customFormat="false" ht="18" hidden="false" customHeight="true" outlineLevel="0" collapsed="false">
      <c r="A11" s="126" t="s">
        <v>69</v>
      </c>
      <c r="B11" s="127" t="n">
        <f aca="false">COUNTIF('Issue Register'!H:H,"Detection &amp; Response")</f>
        <v>1</v>
      </c>
      <c r="C11" s="128" t="n">
        <f aca="false">COUNTIFS('Issue Register'!H:H,"Detection &amp; Response",'Issue Register'!I:I,"Critical")</f>
        <v>0</v>
      </c>
      <c r="D11" s="128" t="n">
        <f aca="false">COUNTIFS('Issue Register'!H:H,"Detection &amp; Response",'Issue Register'!I:I,"High")</f>
        <v>0</v>
      </c>
      <c r="E11" s="128" t="n">
        <f aca="false">COUNTIFS('Issue Register'!H:H,"Detection &amp; Response",'Issue Register'!I:I,"Medium")</f>
        <v>0</v>
      </c>
      <c r="F11" s="128" t="n">
        <f aca="false">COUNTIFS('Issue Register'!H:H,"Detection &amp; Response",'Issue Register'!I:I,"Low")</f>
        <v>0</v>
      </c>
      <c r="G11" s="129" t="n">
        <f aca="false">SUMIF('Issue Register'!H:H,"Detection &amp; Response",'Issue Register'!Q:Q)</f>
        <v>975000</v>
      </c>
      <c r="H11" s="130" t="n">
        <f aca="false">IFERROR(AVERAGEIF('Issue Register'!H:H,"Detection &amp; Response",'Issue Register'!M:M),0)</f>
        <v>2.275</v>
      </c>
      <c r="I11" s="58" t="s">
        <v>266</v>
      </c>
    </row>
    <row r="12" customFormat="false" ht="18" hidden="false" customHeight="true" outlineLevel="0" collapsed="false">
      <c r="A12" s="131" t="s">
        <v>62</v>
      </c>
      <c r="B12" s="132" t="n">
        <f aca="false">COUNTIF('Issue Register'!H:H,"Third-Party Risk")</f>
        <v>1</v>
      </c>
      <c r="C12" s="133" t="n">
        <f aca="false">COUNTIFS('Issue Register'!H:H,"Third-Party Risk",'Issue Register'!I:I,"Critical")</f>
        <v>0</v>
      </c>
      <c r="D12" s="133" t="n">
        <f aca="false">COUNTIFS('Issue Register'!H:H,"Third-Party Risk",'Issue Register'!I:I,"High")</f>
        <v>1</v>
      </c>
      <c r="E12" s="133" t="n">
        <f aca="false">COUNTIFS('Issue Register'!H:H,"Third-Party Risk",'Issue Register'!I:I,"Medium")</f>
        <v>0</v>
      </c>
      <c r="F12" s="133" t="n">
        <f aca="false">COUNTIFS('Issue Register'!H:H,"Third-Party Risk",'Issue Register'!I:I,"Low")</f>
        <v>0</v>
      </c>
      <c r="G12" s="134" t="n">
        <f aca="false">SUMIF('Issue Register'!H:H,"Third-Party Risk",'Issue Register'!Q:Q)</f>
        <v>975000</v>
      </c>
      <c r="H12" s="135" t="n">
        <f aca="false">IFERROR(AVERAGEIF('Issue Register'!H:H,"Third-Party Risk",'Issue Register'!M:M),0)</f>
        <v>2.73</v>
      </c>
      <c r="I12" s="58" t="s">
        <v>266</v>
      </c>
    </row>
    <row r="13" customFormat="false" ht="19.5" hidden="false" customHeight="true" outlineLevel="0" collapsed="false">
      <c r="A13" s="137" t="s">
        <v>267</v>
      </c>
      <c r="B13" s="138" t="n">
        <f aca="false">SUM(B5:B12)</f>
        <v>9</v>
      </c>
      <c r="C13" s="138" t="n">
        <f aca="false">SUM(C5:C12)</f>
        <v>2</v>
      </c>
      <c r="D13" s="138" t="n">
        <f aca="false">SUM(D5:D12)</f>
        <v>4</v>
      </c>
      <c r="E13" s="138" t="n">
        <f aca="false">SUM(E5:E12)</f>
        <v>2</v>
      </c>
      <c r="F13" s="138" t="n">
        <f aca="false">SUM(F5:F12)</f>
        <v>0</v>
      </c>
      <c r="G13" s="139" t="n">
        <f aca="false">SUM(G5:G12)</f>
        <v>9845000</v>
      </c>
      <c r="H13" s="140" t="n">
        <f aca="false">IFERROR(AVERAGE(H5:H12),0)</f>
        <v>1.91369791666667</v>
      </c>
      <c r="I13" s="137" t="s">
        <v>268</v>
      </c>
    </row>
    <row r="14" customFormat="false" ht="15" hidden="false" customHeight="true" outlineLevel="0" collapsed="false"/>
    <row r="15" customFormat="false" ht="19.5" hidden="false" customHeight="true" outlineLevel="0" collapsed="false">
      <c r="A15" s="141" t="s">
        <v>269</v>
      </c>
      <c r="B15" s="141"/>
      <c r="C15" s="141"/>
      <c r="D15" s="141"/>
      <c r="E15" s="141"/>
      <c r="F15" s="141"/>
      <c r="G15" s="141"/>
      <c r="H15" s="141"/>
      <c r="I15" s="141"/>
    </row>
    <row r="16" customFormat="false" ht="36" hidden="false" customHeight="true" outlineLevel="0" collapsed="false">
      <c r="A16" s="142" t="s">
        <v>270</v>
      </c>
      <c r="B16" s="143" t="s">
        <v>271</v>
      </c>
      <c r="C16" s="143" t="s">
        <v>272</v>
      </c>
      <c r="D16" s="143" t="s">
        <v>273</v>
      </c>
      <c r="E16" s="143" t="s">
        <v>274</v>
      </c>
      <c r="F16" s="143" t="s">
        <v>275</v>
      </c>
    </row>
    <row r="17" customFormat="false" ht="42" hidden="false" customHeight="true" outlineLevel="0" collapsed="false">
      <c r="A17" s="143" t="s">
        <v>276</v>
      </c>
      <c r="B17" s="144"/>
      <c r="C17" s="144"/>
      <c r="D17" s="145"/>
      <c r="E17" s="146" t="s">
        <v>126</v>
      </c>
      <c r="F17" s="147" t="s">
        <v>155</v>
      </c>
    </row>
    <row r="18" customFormat="false" ht="42" hidden="false" customHeight="true" outlineLevel="0" collapsed="false">
      <c r="A18" s="143" t="s">
        <v>277</v>
      </c>
      <c r="B18" s="144"/>
      <c r="C18" s="145"/>
      <c r="D18" s="145" t="s">
        <v>278</v>
      </c>
      <c r="E18" s="146" t="s">
        <v>140</v>
      </c>
      <c r="F18" s="147"/>
    </row>
    <row r="19" customFormat="false" ht="42" hidden="false" customHeight="true" outlineLevel="0" collapsed="false">
      <c r="A19" s="143" t="s">
        <v>279</v>
      </c>
      <c r="B19" s="144"/>
      <c r="C19" s="144" t="s">
        <v>197</v>
      </c>
      <c r="D19" s="145" t="s">
        <v>280</v>
      </c>
      <c r="E19" s="145"/>
      <c r="F19" s="146"/>
    </row>
    <row r="20" customFormat="false" ht="42" hidden="false" customHeight="true" outlineLevel="0" collapsed="false">
      <c r="A20" s="143" t="s">
        <v>281</v>
      </c>
      <c r="B20" s="144" t="s">
        <v>160</v>
      </c>
      <c r="C20" s="144" t="s">
        <v>187</v>
      </c>
      <c r="D20" s="144"/>
      <c r="E20" s="145"/>
      <c r="F20" s="145"/>
    </row>
    <row r="21" customFormat="false" ht="42" hidden="false" customHeight="true" outlineLevel="0" collapsed="false">
      <c r="A21" s="143" t="s">
        <v>282</v>
      </c>
      <c r="B21" s="144"/>
      <c r="C21" s="144"/>
      <c r="D21" s="144"/>
      <c r="E21" s="144"/>
      <c r="F21" s="145"/>
    </row>
    <row r="22" customFormat="false" ht="15.75" hidden="false" customHeight="true" outlineLevel="0" collapsed="false"/>
    <row r="23" customFormat="false" ht="19.5" hidden="false" customHeight="true" outlineLevel="0" collapsed="false">
      <c r="A23" s="148" t="s">
        <v>283</v>
      </c>
      <c r="B23" s="148"/>
      <c r="C23" s="148"/>
      <c r="D23" s="148"/>
      <c r="E23" s="148"/>
    </row>
    <row r="24" customFormat="false" ht="15" hidden="false" customHeight="true" outlineLevel="0" collapsed="false">
      <c r="A24" s="149" t="s">
        <v>37</v>
      </c>
      <c r="B24" s="150" t="s">
        <v>44</v>
      </c>
      <c r="C24" s="151" t="s">
        <v>63</v>
      </c>
      <c r="D24" s="152" t="s">
        <v>165</v>
      </c>
    </row>
    <row r="25" customFormat="false" ht="15.75" hidden="false" customHeight="true" outlineLevel="0" collapsed="false"/>
    <row r="26" customFormat="false" ht="15.75" hidden="false" customHeight="true" outlineLevel="0" collapsed="false"/>
    <row r="27" customFormat="false" ht="15.75" hidden="false" customHeight="true" outlineLevel="0" collapsed="false"/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mergeCells count="4">
    <mergeCell ref="A1:I1"/>
    <mergeCell ref="A3:I3"/>
    <mergeCell ref="A15:I15"/>
    <mergeCell ref="A23:E2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00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3359375" defaultRowHeight="15" zeroHeight="false" outlineLevelRow="0" outlineLevelCol="0"/>
  <cols>
    <col collapsed="false" customWidth="true" hidden="false" outlineLevel="0" max="1" min="1" style="1" width="22"/>
    <col collapsed="false" customWidth="true" hidden="false" outlineLevel="0" max="7" min="2" style="1" width="14"/>
    <col collapsed="false" customWidth="true" hidden="false" outlineLevel="0" max="8" min="8" style="1" width="18"/>
    <col collapsed="false" customWidth="true" hidden="false" outlineLevel="0" max="9" min="9" style="1" width="14"/>
    <col collapsed="false" customWidth="true" hidden="false" outlineLevel="0" max="26" min="10" style="1" width="8.71"/>
  </cols>
  <sheetData>
    <row r="1" customFormat="false" ht="30" hidden="false" customHeight="true" outlineLevel="0" collapsed="false">
      <c r="A1" s="40" t="s">
        <v>284</v>
      </c>
      <c r="B1" s="40"/>
      <c r="C1" s="40"/>
      <c r="D1" s="40"/>
      <c r="E1" s="40"/>
      <c r="F1" s="40"/>
      <c r="G1" s="40"/>
      <c r="H1" s="40"/>
      <c r="I1" s="40"/>
    </row>
    <row r="2" customFormat="false" ht="27.75" hidden="false" customHeight="true" outlineLevel="0" collapsed="false">
      <c r="A2" s="153" t="s">
        <v>285</v>
      </c>
      <c r="B2" s="153"/>
      <c r="C2" s="153"/>
      <c r="D2" s="153"/>
      <c r="E2" s="153"/>
      <c r="F2" s="153"/>
      <c r="G2" s="153"/>
      <c r="H2" s="153"/>
      <c r="I2" s="153"/>
    </row>
    <row r="3" customFormat="false" ht="15" hidden="false" customHeight="true" outlineLevel="0" collapsed="false">
      <c r="A3" s="154" t="s">
        <v>286</v>
      </c>
    </row>
    <row r="4" customFormat="false" ht="19.5" hidden="false" customHeight="true" outlineLevel="0" collapsed="false">
      <c r="A4" s="155"/>
      <c r="B4" s="155"/>
      <c r="C4" s="155"/>
      <c r="D4" s="155"/>
      <c r="E4" s="155"/>
      <c r="F4" s="155"/>
      <c r="G4" s="155"/>
      <c r="H4" s="155"/>
      <c r="I4" s="155"/>
    </row>
    <row r="5" customFormat="false" ht="36" hidden="false" customHeight="true" outlineLevel="0" collapsed="false">
      <c r="A5" s="156" t="s">
        <v>287</v>
      </c>
      <c r="B5" s="157"/>
      <c r="C5" s="157"/>
      <c r="D5" s="157"/>
      <c r="E5" s="157"/>
      <c r="F5" s="157"/>
      <c r="G5" s="157"/>
      <c r="H5" s="157"/>
      <c r="I5" s="157"/>
    </row>
    <row r="6" customFormat="false" ht="18" hidden="false" customHeight="true" outlineLevel="0" collapsed="false">
      <c r="A6" s="42" t="s">
        <v>288</v>
      </c>
      <c r="B6" s="42" t="s">
        <v>289</v>
      </c>
      <c r="C6" s="42" t="s">
        <v>290</v>
      </c>
      <c r="D6" s="42" t="s">
        <v>291</v>
      </c>
      <c r="E6" s="42" t="s">
        <v>292</v>
      </c>
      <c r="F6" s="42" t="s">
        <v>293</v>
      </c>
      <c r="G6" s="42" t="s">
        <v>294</v>
      </c>
      <c r="H6" s="42" t="s">
        <v>295</v>
      </c>
      <c r="I6" s="42" t="s">
        <v>296</v>
      </c>
    </row>
    <row r="7" customFormat="false" ht="18" hidden="false" customHeight="true" outlineLevel="0" collapsed="false">
      <c r="A7" s="126" t="s">
        <v>297</v>
      </c>
      <c r="B7" s="158" t="n">
        <v>8</v>
      </c>
      <c r="C7" s="158" t="n">
        <v>3</v>
      </c>
      <c r="D7" s="158" t="n">
        <v>5</v>
      </c>
      <c r="E7" s="158" t="n">
        <v>5</v>
      </c>
      <c r="F7" s="159" t="n">
        <v>3</v>
      </c>
      <c r="G7" s="160" t="n">
        <v>11250000</v>
      </c>
      <c r="H7" s="160" t="n">
        <v>4200000</v>
      </c>
      <c r="I7" s="161" t="n">
        <v>7050000</v>
      </c>
    </row>
    <row r="8" customFormat="false" ht="18" hidden="false" customHeight="true" outlineLevel="0" collapsed="false">
      <c r="A8" s="131" t="s">
        <v>298</v>
      </c>
      <c r="B8" s="162" t="n">
        <v>12</v>
      </c>
      <c r="C8" s="162" t="n">
        <v>5</v>
      </c>
      <c r="D8" s="162" t="n">
        <v>7</v>
      </c>
      <c r="E8" s="162" t="n">
        <v>8</v>
      </c>
      <c r="F8" s="163" t="n">
        <v>7</v>
      </c>
      <c r="G8" s="164" t="n">
        <v>18750000</v>
      </c>
      <c r="H8" s="164" t="n">
        <v>9100000</v>
      </c>
      <c r="I8" s="165" t="n">
        <v>16700000</v>
      </c>
    </row>
    <row r="9" customFormat="false" ht="18" hidden="false" customHeight="true" outlineLevel="0" collapsed="false">
      <c r="A9" s="126" t="s">
        <v>299</v>
      </c>
      <c r="B9" s="158" t="n">
        <v>11</v>
      </c>
      <c r="C9" s="158" t="n">
        <v>6</v>
      </c>
      <c r="D9" s="158" t="n">
        <v>5</v>
      </c>
      <c r="E9" s="158" t="n">
        <v>5</v>
      </c>
      <c r="F9" s="166" t="n">
        <v>13</v>
      </c>
      <c r="G9" s="160" t="n">
        <v>17900000</v>
      </c>
      <c r="H9" s="160" t="n">
        <v>6350000</v>
      </c>
      <c r="I9" s="161" t="n">
        <v>28250000</v>
      </c>
    </row>
    <row r="10" customFormat="false" ht="18" hidden="false" customHeight="true" outlineLevel="0" collapsed="false">
      <c r="A10" s="131" t="s">
        <v>300</v>
      </c>
      <c r="B10" s="162" t="n">
        <v>9</v>
      </c>
      <c r="C10" s="162" t="n">
        <v>4</v>
      </c>
      <c r="D10" s="162" t="n">
        <v>5</v>
      </c>
      <c r="E10" s="162" t="n">
        <v>4</v>
      </c>
      <c r="F10" s="167" t="n">
        <v>18</v>
      </c>
      <c r="G10" s="164" t="n">
        <v>14800000</v>
      </c>
      <c r="H10" s="164" t="n">
        <v>5200000</v>
      </c>
      <c r="I10" s="165" t="n">
        <v>37850000</v>
      </c>
    </row>
    <row r="11" customFormat="false" ht="18" hidden="false" customHeight="true" outlineLevel="0" collapsed="false">
      <c r="A11" s="126" t="s">
        <v>301</v>
      </c>
      <c r="B11" s="158" t="n">
        <v>6</v>
      </c>
      <c r="C11" s="158" t="n">
        <v>2</v>
      </c>
      <c r="D11" s="158" t="n">
        <v>4</v>
      </c>
      <c r="E11" s="158" t="n">
        <v>3</v>
      </c>
      <c r="F11" s="168" t="n">
        <v>21</v>
      </c>
      <c r="G11" s="160" t="n">
        <v>8500000</v>
      </c>
      <c r="H11" s="160" t="n">
        <v>3100000</v>
      </c>
      <c r="I11" s="161" t="n">
        <v>43250000</v>
      </c>
    </row>
    <row r="12" customFormat="false" ht="19.5" hidden="false" customHeight="true" outlineLevel="0" collapsed="false">
      <c r="A12" s="131" t="s">
        <v>302</v>
      </c>
      <c r="B12" s="162" t="n">
        <v>14</v>
      </c>
      <c r="C12" s="162" t="n">
        <v>7</v>
      </c>
      <c r="D12" s="162" t="n">
        <v>7</v>
      </c>
      <c r="E12" s="162" t="n">
        <v>9</v>
      </c>
      <c r="F12" s="167" t="n">
        <v>26</v>
      </c>
      <c r="G12" s="169" t="n">
        <f aca="false">SUMIF('Issue Register'!G:G,"Open",'Issue Register'!Q:Q)+SUMIF('Issue Register'!G:G,"In Remediation",'Issue Register'!Q:Q)</f>
        <v>10827500</v>
      </c>
      <c r="H12" s="164" t="n">
        <v>10200000</v>
      </c>
      <c r="I12" s="165" t="n">
        <v>54550000</v>
      </c>
    </row>
    <row r="13" customFormat="false" ht="15" hidden="false" customHeight="true" outlineLevel="0" collapsed="false">
      <c r="A13" s="137" t="s">
        <v>303</v>
      </c>
      <c r="B13" s="138" t="n">
        <f aca="false">SUM(B6:B11)</f>
        <v>46</v>
      </c>
      <c r="C13" s="138" t="n">
        <f aca="false">SUM(C6:C11)</f>
        <v>20</v>
      </c>
      <c r="D13" s="138" t="n">
        <f aca="false">SUM(D6:D11)</f>
        <v>26</v>
      </c>
      <c r="E13" s="138" t="n">
        <f aca="false">SUM(E6:E11)</f>
        <v>25</v>
      </c>
      <c r="F13" s="137" t="s">
        <v>268</v>
      </c>
      <c r="G13" s="83" t="n">
        <f aca="false">SUM(G6:G11)</f>
        <v>71200000</v>
      </c>
      <c r="H13" s="83" t="n">
        <f aca="false">SUM(H6:H11)</f>
        <v>27950000</v>
      </c>
      <c r="I13" s="83" t="n">
        <f aca="false">SUM(I6:I11)</f>
        <v>133100000</v>
      </c>
    </row>
    <row r="14" customFormat="false" ht="19.5" hidden="false" customHeight="true" outlineLevel="0" collapsed="false">
      <c r="A14" s="155"/>
      <c r="B14" s="155"/>
      <c r="C14" s="155"/>
      <c r="D14" s="155"/>
      <c r="E14" s="155"/>
      <c r="F14" s="155"/>
      <c r="G14" s="155"/>
      <c r="H14" s="155"/>
      <c r="I14" s="155"/>
    </row>
    <row r="15" customFormat="false" ht="27.75" hidden="false" customHeight="true" outlineLevel="0" collapsed="false">
      <c r="A15" s="170" t="s">
        <v>304</v>
      </c>
      <c r="B15" s="157"/>
      <c r="C15" s="157"/>
      <c r="D15" s="157"/>
      <c r="E15" s="157"/>
      <c r="F15" s="157"/>
      <c r="G15" s="157"/>
      <c r="H15" s="157"/>
      <c r="I15" s="157"/>
    </row>
    <row r="16" customFormat="false" ht="26.25" hidden="false" customHeight="true" outlineLevel="0" collapsed="false">
      <c r="A16" s="42" t="s">
        <v>305</v>
      </c>
      <c r="B16" s="42" t="s">
        <v>306</v>
      </c>
      <c r="C16" s="42" t="s">
        <v>307</v>
      </c>
      <c r="D16" s="42" t="s">
        <v>308</v>
      </c>
      <c r="E16" s="42" t="s">
        <v>309</v>
      </c>
      <c r="F16" s="42" t="s">
        <v>310</v>
      </c>
      <c r="G16" s="42" t="s">
        <v>311</v>
      </c>
      <c r="H16" s="42" t="s">
        <v>312</v>
      </c>
      <c r="I16" s="42" t="s">
        <v>313</v>
      </c>
    </row>
    <row r="17" customFormat="false" ht="18" hidden="false" customHeight="true" outlineLevel="0" collapsed="false">
      <c r="A17" s="126" t="s">
        <v>314</v>
      </c>
      <c r="B17" s="128" t="s">
        <v>315</v>
      </c>
      <c r="C17" s="128" t="s">
        <v>316</v>
      </c>
      <c r="D17" s="128" t="s">
        <v>317</v>
      </c>
      <c r="E17" s="58" t="s">
        <v>266</v>
      </c>
      <c r="F17" s="171" t="s">
        <v>318</v>
      </c>
      <c r="G17" s="171" t="s">
        <v>319</v>
      </c>
      <c r="H17" s="128" t="s">
        <v>320</v>
      </c>
      <c r="I17" s="172" t="s">
        <v>321</v>
      </c>
    </row>
    <row r="18" customFormat="false" ht="18" hidden="false" customHeight="true" outlineLevel="0" collapsed="false">
      <c r="A18" s="131" t="s">
        <v>322</v>
      </c>
      <c r="B18" s="133" t="s">
        <v>323</v>
      </c>
      <c r="C18" s="133" t="s">
        <v>324</v>
      </c>
      <c r="D18" s="133" t="s">
        <v>325</v>
      </c>
      <c r="E18" s="136" t="s">
        <v>263</v>
      </c>
      <c r="F18" s="173" t="s">
        <v>326</v>
      </c>
      <c r="G18" s="173" t="s">
        <v>327</v>
      </c>
      <c r="H18" s="133" t="s">
        <v>328</v>
      </c>
      <c r="I18" s="174" t="s">
        <v>329</v>
      </c>
    </row>
    <row r="19" customFormat="false" ht="18" hidden="false" customHeight="true" outlineLevel="0" collapsed="false">
      <c r="A19" s="126" t="s">
        <v>330</v>
      </c>
      <c r="B19" s="128" t="s">
        <v>331</v>
      </c>
      <c r="C19" s="128" t="s">
        <v>332</v>
      </c>
      <c r="D19" s="128" t="s">
        <v>333</v>
      </c>
      <c r="E19" s="136" t="s">
        <v>263</v>
      </c>
      <c r="F19" s="171" t="s">
        <v>334</v>
      </c>
      <c r="G19" s="171" t="s">
        <v>335</v>
      </c>
      <c r="H19" s="128" t="s">
        <v>336</v>
      </c>
      <c r="I19" s="175" t="s">
        <v>337</v>
      </c>
    </row>
    <row r="20" customFormat="false" ht="18" hidden="false" customHeight="true" outlineLevel="0" collapsed="false">
      <c r="A20" s="131" t="s">
        <v>338</v>
      </c>
      <c r="B20" s="133" t="s">
        <v>339</v>
      </c>
      <c r="C20" s="133" t="s">
        <v>2</v>
      </c>
      <c r="D20" s="133" t="s">
        <v>340</v>
      </c>
      <c r="E20" s="47" t="s">
        <v>262</v>
      </c>
      <c r="F20" s="173" t="s">
        <v>341</v>
      </c>
      <c r="G20" s="173" t="s">
        <v>335</v>
      </c>
      <c r="H20" s="133" t="s">
        <v>342</v>
      </c>
      <c r="I20" s="174" t="s">
        <v>343</v>
      </c>
    </row>
    <row r="21" customFormat="false" ht="18" hidden="false" customHeight="true" outlineLevel="0" collapsed="false">
      <c r="A21" s="126" t="s">
        <v>344</v>
      </c>
      <c r="B21" s="128" t="s">
        <v>345</v>
      </c>
      <c r="C21" s="128" t="s">
        <v>346</v>
      </c>
      <c r="D21" s="128" t="s">
        <v>347</v>
      </c>
      <c r="E21" s="136" t="s">
        <v>263</v>
      </c>
      <c r="F21" s="171" t="s">
        <v>348</v>
      </c>
      <c r="G21" s="171" t="s">
        <v>327</v>
      </c>
      <c r="H21" s="128" t="s">
        <v>349</v>
      </c>
      <c r="I21" s="175" t="s">
        <v>350</v>
      </c>
    </row>
    <row r="22" customFormat="false" ht="18" hidden="false" customHeight="true" outlineLevel="0" collapsed="false">
      <c r="A22" s="131" t="s">
        <v>351</v>
      </c>
      <c r="B22" s="133" t="s">
        <v>352</v>
      </c>
      <c r="C22" s="134" t="n">
        <f aca="false">SUMIF('Issue Register'!G:G,"Open",'Issue Register'!Q:Q)+SUMIF('Issue Register'!G:G,"In Remediation",'Issue Register'!Q:Q)</f>
        <v>10827500</v>
      </c>
      <c r="D22" s="133" t="s">
        <v>353</v>
      </c>
      <c r="E22" s="47" t="s">
        <v>262</v>
      </c>
      <c r="F22" s="173" t="s">
        <v>354</v>
      </c>
      <c r="G22" s="173" t="s">
        <v>335</v>
      </c>
      <c r="H22" s="133" t="s">
        <v>355</v>
      </c>
      <c r="I22" s="174" t="s">
        <v>356</v>
      </c>
    </row>
    <row r="23" customFormat="false" ht="18" hidden="false" customHeight="true" outlineLevel="0" collapsed="false">
      <c r="A23" s="126" t="s">
        <v>357</v>
      </c>
      <c r="B23" s="128" t="s">
        <v>358</v>
      </c>
      <c r="C23" s="176" t="n">
        <f aca="false">IFERROR(AVERAGEIF('Issue Register'!G:G,"Open",'Issue Register'!S:S),0)</f>
        <v>22.6113666426166</v>
      </c>
      <c r="D23" s="128" t="s">
        <v>359</v>
      </c>
      <c r="E23" s="58" t="s">
        <v>266</v>
      </c>
      <c r="F23" s="171" t="s">
        <v>360</v>
      </c>
      <c r="G23" s="171" t="s">
        <v>319</v>
      </c>
      <c r="H23" s="128" t="s">
        <v>361</v>
      </c>
      <c r="I23" s="172" t="s">
        <v>321</v>
      </c>
    </row>
    <row r="24" customFormat="false" ht="15.75" hidden="false" customHeight="true" outlineLevel="0" collapsed="false">
      <c r="A24" s="131" t="s">
        <v>362</v>
      </c>
      <c r="B24" s="133" t="s">
        <v>363</v>
      </c>
      <c r="C24" s="133" t="s">
        <v>2</v>
      </c>
      <c r="D24" s="133" t="s">
        <v>364</v>
      </c>
      <c r="E24" s="58" t="s">
        <v>266</v>
      </c>
      <c r="F24" s="173" t="s">
        <v>365</v>
      </c>
      <c r="G24" s="173" t="s">
        <v>319</v>
      </c>
      <c r="H24" s="133" t="s">
        <v>366</v>
      </c>
      <c r="I24" s="177" t="s">
        <v>321</v>
      </c>
    </row>
    <row r="25" customFormat="false" ht="19.5" hidden="false" customHeight="true" outlineLevel="0" collapsed="false">
      <c r="A25" s="155"/>
      <c r="B25" s="155"/>
      <c r="C25" s="155"/>
      <c r="D25" s="155"/>
      <c r="E25" s="155"/>
      <c r="F25" s="155"/>
      <c r="G25" s="155"/>
      <c r="H25" s="155"/>
      <c r="I25" s="155"/>
    </row>
    <row r="26" customFormat="false" ht="60" hidden="false" customHeight="true" outlineLevel="0" collapsed="false">
      <c r="A26" s="141" t="s">
        <v>367</v>
      </c>
      <c r="B26" s="157"/>
      <c r="C26" s="157"/>
      <c r="D26" s="157"/>
      <c r="E26" s="157"/>
      <c r="F26" s="157"/>
      <c r="G26" s="157"/>
      <c r="H26" s="157"/>
      <c r="I26" s="157"/>
    </row>
    <row r="27" customFormat="false" ht="60" hidden="false" customHeight="true" outlineLevel="0" collapsed="false">
      <c r="A27" s="178" t="s">
        <v>368</v>
      </c>
      <c r="B27" s="179" t="s">
        <v>369</v>
      </c>
      <c r="C27" s="179"/>
      <c r="D27" s="179"/>
      <c r="E27" s="179"/>
      <c r="F27" s="179"/>
      <c r="G27" s="179"/>
      <c r="H27" s="179"/>
      <c r="I27" s="179"/>
    </row>
    <row r="28" customFormat="false" ht="60" hidden="false" customHeight="true" outlineLevel="0" collapsed="false">
      <c r="A28" s="178" t="s">
        <v>370</v>
      </c>
      <c r="B28" s="179" t="s">
        <v>371</v>
      </c>
      <c r="C28" s="179"/>
      <c r="D28" s="179"/>
      <c r="E28" s="179"/>
      <c r="F28" s="179"/>
      <c r="G28" s="179"/>
      <c r="H28" s="179"/>
      <c r="I28" s="179"/>
    </row>
    <row r="29" customFormat="false" ht="60" hidden="false" customHeight="true" outlineLevel="0" collapsed="false">
      <c r="A29" s="178" t="s">
        <v>372</v>
      </c>
      <c r="B29" s="179" t="s">
        <v>373</v>
      </c>
      <c r="C29" s="179"/>
      <c r="D29" s="179"/>
      <c r="E29" s="179"/>
      <c r="F29" s="179"/>
      <c r="G29" s="179"/>
      <c r="H29" s="179"/>
      <c r="I29" s="179"/>
    </row>
    <row r="30" customFormat="false" ht="60" hidden="false" customHeight="true" outlineLevel="0" collapsed="false">
      <c r="A30" s="178" t="s">
        <v>374</v>
      </c>
      <c r="B30" s="179" t="s">
        <v>375</v>
      </c>
      <c r="C30" s="179"/>
      <c r="D30" s="179"/>
      <c r="E30" s="179"/>
      <c r="F30" s="179"/>
      <c r="G30" s="179"/>
      <c r="H30" s="179"/>
      <c r="I30" s="179"/>
    </row>
    <row r="31" customFormat="false" ht="15.75" hidden="false" customHeight="true" outlineLevel="0" collapsed="false">
      <c r="A31" s="178" t="s">
        <v>376</v>
      </c>
      <c r="B31" s="179" t="s">
        <v>377</v>
      </c>
      <c r="C31" s="157"/>
      <c r="D31" s="157"/>
      <c r="E31" s="157"/>
      <c r="F31" s="157"/>
      <c r="G31" s="157"/>
      <c r="H31" s="157"/>
      <c r="I31" s="157"/>
    </row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mergeCells count="10">
    <mergeCell ref="A1:I1"/>
    <mergeCell ref="A2:I2"/>
    <mergeCell ref="A4:I4"/>
    <mergeCell ref="A14:I14"/>
    <mergeCell ref="A25:I25"/>
    <mergeCell ref="B26:I26"/>
    <mergeCell ref="B27:I27"/>
    <mergeCell ref="B28:I28"/>
    <mergeCell ref="B29:I29"/>
    <mergeCell ref="B30:I3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00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3359375" defaultRowHeight="15" zeroHeight="false" outlineLevelRow="0" outlineLevelCol="0"/>
  <cols>
    <col collapsed="false" customWidth="true" hidden="false" outlineLevel="0" max="1" min="1" style="1" width="14"/>
    <col collapsed="false" customWidth="true" hidden="false" outlineLevel="0" max="2" min="2" style="1" width="28"/>
    <col collapsed="false" customWidth="true" hidden="false" outlineLevel="0" max="4" min="3" style="1" width="14"/>
    <col collapsed="false" customWidth="true" hidden="false" outlineLevel="0" max="7" min="5" style="1" width="16"/>
    <col collapsed="false" customWidth="true" hidden="false" outlineLevel="0" max="8" min="8" style="1" width="14"/>
    <col collapsed="false" customWidth="true" hidden="false" outlineLevel="0" max="9" min="9" style="1" width="18"/>
    <col collapsed="false" customWidth="true" hidden="false" outlineLevel="0" max="26" min="10" style="1" width="8.71"/>
  </cols>
  <sheetData>
    <row r="1" customFormat="false" ht="36" hidden="false" customHeight="true" outlineLevel="0" collapsed="false">
      <c r="A1" s="180" t="s">
        <v>378</v>
      </c>
      <c r="B1" s="180"/>
      <c r="C1" s="180"/>
      <c r="D1" s="180"/>
      <c r="E1" s="180"/>
      <c r="F1" s="180"/>
      <c r="G1" s="180"/>
      <c r="H1" s="180"/>
      <c r="I1" s="180"/>
    </row>
    <row r="2" customFormat="false" ht="6" hidden="false" customHeight="true" outlineLevel="0" collapsed="false"/>
    <row r="3" customFormat="false" ht="19.5" hidden="false" customHeight="true" outlineLevel="0" collapsed="false">
      <c r="A3" s="40" t="s">
        <v>379</v>
      </c>
      <c r="B3" s="40"/>
      <c r="C3" s="40"/>
      <c r="D3" s="40"/>
      <c r="E3" s="40"/>
      <c r="F3" s="40"/>
      <c r="G3" s="40"/>
      <c r="H3" s="40"/>
      <c r="I3" s="40"/>
    </row>
    <row r="4" customFormat="false" ht="36" hidden="false" customHeight="true" outlineLevel="0" collapsed="false"/>
    <row r="5" customFormat="false" ht="18" hidden="false" customHeight="true" outlineLevel="0" collapsed="false">
      <c r="A5" s="156" t="s">
        <v>380</v>
      </c>
      <c r="B5" s="157"/>
      <c r="C5" s="157"/>
      <c r="D5" s="157"/>
      <c r="E5" s="157"/>
      <c r="F5" s="157"/>
      <c r="G5" s="157"/>
      <c r="H5" s="157"/>
      <c r="I5" s="157"/>
    </row>
    <row r="6" customFormat="false" ht="18" hidden="false" customHeight="true" outlineLevel="0" collapsed="false">
      <c r="A6" s="42" t="s">
        <v>108</v>
      </c>
      <c r="B6" s="42" t="s">
        <v>239</v>
      </c>
      <c r="C6" s="42" t="s">
        <v>240</v>
      </c>
      <c r="D6" s="42" t="s">
        <v>241</v>
      </c>
      <c r="E6" s="42" t="s">
        <v>124</v>
      </c>
      <c r="F6" s="42" t="s">
        <v>381</v>
      </c>
      <c r="G6" s="42" t="s">
        <v>243</v>
      </c>
      <c r="H6" s="42" t="s">
        <v>125</v>
      </c>
      <c r="I6" s="42" t="s">
        <v>238</v>
      </c>
    </row>
    <row r="7" customFormat="false" ht="18" hidden="false" customHeight="true" outlineLevel="0" collapsed="false">
      <c r="A7" s="80" t="s">
        <v>126</v>
      </c>
      <c r="B7" s="173" t="s">
        <v>382</v>
      </c>
      <c r="C7" s="47" t="s">
        <v>37</v>
      </c>
      <c r="D7" s="164" t="n">
        <v>4500000</v>
      </c>
      <c r="E7" s="164" t="n">
        <v>25000</v>
      </c>
      <c r="F7" s="181" t="n">
        <v>0.9</v>
      </c>
      <c r="G7" s="182" t="n">
        <v>4050000</v>
      </c>
      <c r="H7" s="183" t="n">
        <v>161</v>
      </c>
      <c r="I7" s="184" t="s">
        <v>383</v>
      </c>
    </row>
    <row r="8" customFormat="false" ht="18" hidden="false" customHeight="true" outlineLevel="0" collapsed="false">
      <c r="A8" s="185" t="s">
        <v>155</v>
      </c>
      <c r="B8" s="171" t="s">
        <v>384</v>
      </c>
      <c r="C8" s="47" t="s">
        <v>37</v>
      </c>
      <c r="D8" s="160" t="n">
        <v>4500000</v>
      </c>
      <c r="E8" s="160" t="n">
        <v>65000</v>
      </c>
      <c r="F8" s="186" t="n">
        <v>0.85</v>
      </c>
      <c r="G8" s="187" t="n">
        <v>3825000</v>
      </c>
      <c r="H8" s="188" t="n">
        <v>57.8461538461539</v>
      </c>
      <c r="I8" s="189" t="s">
        <v>385</v>
      </c>
    </row>
    <row r="9" customFormat="false" ht="18" hidden="false" customHeight="true" outlineLevel="0" collapsed="false">
      <c r="A9" s="80" t="s">
        <v>187</v>
      </c>
      <c r="B9" s="173" t="s">
        <v>386</v>
      </c>
      <c r="C9" s="66" t="s">
        <v>44</v>
      </c>
      <c r="D9" s="164" t="n">
        <v>975000</v>
      </c>
      <c r="E9" s="164" t="n">
        <v>15000</v>
      </c>
      <c r="F9" s="181" t="n">
        <v>0.6</v>
      </c>
      <c r="G9" s="182" t="n">
        <v>585000</v>
      </c>
      <c r="H9" s="183" t="n">
        <v>38</v>
      </c>
      <c r="I9" s="184" t="s">
        <v>387</v>
      </c>
    </row>
    <row r="10" customFormat="false" ht="18" hidden="false" customHeight="true" outlineLevel="0" collapsed="false">
      <c r="A10" s="185" t="s">
        <v>151</v>
      </c>
      <c r="B10" s="171" t="s">
        <v>388</v>
      </c>
      <c r="C10" s="66" t="s">
        <v>44</v>
      </c>
      <c r="D10" s="160" t="n">
        <v>975000</v>
      </c>
      <c r="E10" s="160" t="n">
        <v>22000</v>
      </c>
      <c r="F10" s="186" t="n">
        <v>0.65</v>
      </c>
      <c r="G10" s="187" t="n">
        <v>633750</v>
      </c>
      <c r="H10" s="188" t="n">
        <v>27.8068181818182</v>
      </c>
      <c r="I10" s="190" t="s">
        <v>389</v>
      </c>
    </row>
    <row r="11" customFormat="false" ht="18" hidden="false" customHeight="true" outlineLevel="0" collapsed="false">
      <c r="A11" s="80" t="s">
        <v>178</v>
      </c>
      <c r="B11" s="173" t="s">
        <v>390</v>
      </c>
      <c r="C11" s="66" t="s">
        <v>44</v>
      </c>
      <c r="D11" s="164" t="n">
        <v>975000</v>
      </c>
      <c r="E11" s="164" t="n">
        <v>28000</v>
      </c>
      <c r="F11" s="181" t="n">
        <v>0.75</v>
      </c>
      <c r="G11" s="182" t="n">
        <v>731250</v>
      </c>
      <c r="H11" s="183" t="n">
        <v>25.1160714285714</v>
      </c>
      <c r="I11" s="191" t="s">
        <v>391</v>
      </c>
    </row>
    <row r="12" customFormat="false" ht="18" hidden="false" customHeight="true" outlineLevel="0" collapsed="false">
      <c r="A12" s="185" t="s">
        <v>201</v>
      </c>
      <c r="B12" s="171" t="s">
        <v>392</v>
      </c>
      <c r="C12" s="66" t="s">
        <v>44</v>
      </c>
      <c r="D12" s="160" t="n">
        <v>975000</v>
      </c>
      <c r="E12" s="160" t="n">
        <v>32000</v>
      </c>
      <c r="F12" s="186" t="n">
        <v>0.7</v>
      </c>
      <c r="G12" s="187" t="n">
        <v>682500</v>
      </c>
      <c r="H12" s="188" t="n">
        <v>20.328125</v>
      </c>
      <c r="I12" s="190" t="s">
        <v>393</v>
      </c>
    </row>
    <row r="13" customFormat="false" ht="18" hidden="false" customHeight="true" outlineLevel="0" collapsed="false">
      <c r="A13" s="80" t="s">
        <v>140</v>
      </c>
      <c r="B13" s="173" t="s">
        <v>394</v>
      </c>
      <c r="C13" s="66" t="s">
        <v>44</v>
      </c>
      <c r="D13" s="164" t="n">
        <v>975000</v>
      </c>
      <c r="E13" s="164" t="n">
        <v>45000</v>
      </c>
      <c r="F13" s="181" t="n">
        <v>0.8</v>
      </c>
      <c r="G13" s="182" t="n">
        <v>780000</v>
      </c>
      <c r="H13" s="183" t="n">
        <v>16.3333333333333</v>
      </c>
      <c r="I13" s="192" t="s">
        <v>395</v>
      </c>
    </row>
    <row r="14" customFormat="false" ht="18" hidden="false" customHeight="true" outlineLevel="0" collapsed="false">
      <c r="A14" s="185" t="s">
        <v>183</v>
      </c>
      <c r="B14" s="171" t="s">
        <v>396</v>
      </c>
      <c r="C14" s="66" t="s">
        <v>44</v>
      </c>
      <c r="D14" s="160" t="n">
        <v>975000</v>
      </c>
      <c r="E14" s="160" t="n">
        <v>42000</v>
      </c>
      <c r="F14" s="186" t="n">
        <v>0.6</v>
      </c>
      <c r="G14" s="187" t="n">
        <v>585000</v>
      </c>
      <c r="H14" s="188" t="n">
        <v>12.9285714285714</v>
      </c>
      <c r="I14" s="193" t="s">
        <v>397</v>
      </c>
    </row>
    <row r="15" customFormat="false" ht="18" hidden="false" customHeight="true" outlineLevel="0" collapsed="false">
      <c r="A15" s="80" t="s">
        <v>166</v>
      </c>
      <c r="B15" s="173" t="s">
        <v>398</v>
      </c>
      <c r="C15" s="79" t="s">
        <v>63</v>
      </c>
      <c r="D15" s="164" t="n">
        <v>122500</v>
      </c>
      <c r="E15" s="164" t="n">
        <v>35000</v>
      </c>
      <c r="F15" s="181" t="n">
        <v>0.8</v>
      </c>
      <c r="G15" s="182" t="n">
        <v>98000</v>
      </c>
      <c r="H15" s="194" t="n">
        <v>1.8</v>
      </c>
      <c r="I15" s="192" t="s">
        <v>399</v>
      </c>
    </row>
    <row r="16" customFormat="false" ht="15" hidden="false" customHeight="true" outlineLevel="0" collapsed="false">
      <c r="A16" s="185" t="s">
        <v>197</v>
      </c>
      <c r="B16" s="171" t="s">
        <v>400</v>
      </c>
      <c r="C16" s="79" t="s">
        <v>63</v>
      </c>
      <c r="D16" s="160" t="n">
        <v>122500</v>
      </c>
      <c r="E16" s="160" t="n">
        <v>55000</v>
      </c>
      <c r="F16" s="186" t="n">
        <v>0.75</v>
      </c>
      <c r="G16" s="187" t="n">
        <v>91875</v>
      </c>
      <c r="H16" s="195" t="n">
        <v>0.670454545454545</v>
      </c>
      <c r="I16" s="193" t="s">
        <v>401</v>
      </c>
    </row>
    <row r="17" customFormat="false" ht="15" hidden="false" customHeight="true" outlineLevel="0" collapsed="false">
      <c r="A17" s="80" t="s">
        <v>160</v>
      </c>
      <c r="B17" s="173" t="s">
        <v>402</v>
      </c>
      <c r="C17" s="78" t="s">
        <v>165</v>
      </c>
      <c r="D17" s="164" t="n">
        <v>7500</v>
      </c>
      <c r="E17" s="164" t="n">
        <v>5000</v>
      </c>
      <c r="F17" s="181" t="n">
        <v>0.95</v>
      </c>
      <c r="G17" s="182" t="n">
        <v>7125</v>
      </c>
      <c r="H17" s="194" t="n">
        <v>0.425</v>
      </c>
      <c r="I17" s="192" t="s">
        <v>403</v>
      </c>
    </row>
    <row r="18" customFormat="false" ht="19.5" hidden="false" customHeight="true" outlineLevel="0" collapsed="false">
      <c r="A18" s="155"/>
      <c r="B18" s="155"/>
      <c r="C18" s="155"/>
      <c r="D18" s="155"/>
      <c r="E18" s="155"/>
      <c r="F18" s="155"/>
      <c r="G18" s="155"/>
      <c r="H18" s="155"/>
      <c r="I18" s="155"/>
    </row>
    <row r="19" customFormat="false" ht="15" hidden="false" customHeight="true" outlineLevel="0" collapsed="false">
      <c r="B19" s="155"/>
      <c r="C19" s="155"/>
      <c r="D19" s="155"/>
      <c r="E19" s="155"/>
      <c r="F19" s="155"/>
      <c r="G19" s="155"/>
      <c r="H19" s="155"/>
      <c r="I19" s="155"/>
    </row>
    <row r="20" customFormat="false" ht="15.75" hidden="false" customHeight="true" outlineLevel="0" collapsed="false">
      <c r="A20" s="141" t="s">
        <v>404</v>
      </c>
      <c r="B20" s="157"/>
      <c r="C20" s="157"/>
      <c r="D20" s="157"/>
      <c r="E20" s="157"/>
      <c r="F20" s="157"/>
      <c r="G20" s="157"/>
      <c r="H20" s="157"/>
      <c r="I20" s="157"/>
    </row>
    <row r="21" customFormat="false" ht="15.75" hidden="false" customHeight="true" outlineLevel="0" collapsed="false">
      <c r="A21" s="42" t="s">
        <v>405</v>
      </c>
      <c r="B21" s="196" t="s">
        <v>220</v>
      </c>
      <c r="C21" s="196"/>
      <c r="D21" s="196"/>
      <c r="E21" s="196"/>
      <c r="F21" s="196"/>
      <c r="G21" s="196"/>
      <c r="H21" s="196"/>
      <c r="I21" s="196"/>
    </row>
    <row r="22" customFormat="false" ht="15.75" hidden="false" customHeight="true" outlineLevel="0" collapsed="false">
      <c r="A22" s="197" t="s">
        <v>406</v>
      </c>
      <c r="B22" s="179" t="s">
        <v>407</v>
      </c>
      <c r="C22" s="179"/>
      <c r="D22" s="179"/>
      <c r="E22" s="179"/>
      <c r="F22" s="179"/>
      <c r="G22" s="179"/>
      <c r="H22" s="179"/>
      <c r="I22" s="179"/>
    </row>
    <row r="23" customFormat="false" ht="15.75" hidden="false" customHeight="true" outlineLevel="0" collapsed="false">
      <c r="A23" s="197" t="s">
        <v>408</v>
      </c>
      <c r="B23" s="179" t="s">
        <v>409</v>
      </c>
      <c r="C23" s="179"/>
      <c r="D23" s="179"/>
      <c r="E23" s="179"/>
      <c r="F23" s="179"/>
      <c r="G23" s="179"/>
      <c r="H23" s="179"/>
      <c r="I23" s="179"/>
    </row>
    <row r="24" customFormat="false" ht="15.75" hidden="false" customHeight="true" outlineLevel="0" collapsed="false">
      <c r="A24" s="197" t="s">
        <v>410</v>
      </c>
      <c r="B24" s="179" t="s">
        <v>411</v>
      </c>
      <c r="C24" s="179"/>
      <c r="D24" s="179"/>
      <c r="E24" s="179"/>
      <c r="F24" s="179"/>
      <c r="G24" s="179"/>
      <c r="H24" s="179"/>
      <c r="I24" s="179"/>
    </row>
    <row r="25" customFormat="false" ht="15.75" hidden="false" customHeight="true" outlineLevel="0" collapsed="false">
      <c r="A25" s="197" t="s">
        <v>412</v>
      </c>
      <c r="B25" s="179" t="s">
        <v>413</v>
      </c>
      <c r="C25" s="179"/>
      <c r="D25" s="179"/>
      <c r="E25" s="179"/>
      <c r="F25" s="179"/>
      <c r="G25" s="179"/>
      <c r="H25" s="179"/>
      <c r="I25" s="179"/>
    </row>
    <row r="26" customFormat="false" ht="15.75" hidden="false" customHeight="true" outlineLevel="0" collapsed="false">
      <c r="A26" s="197" t="s">
        <v>235</v>
      </c>
      <c r="B26" s="179" t="s">
        <v>414</v>
      </c>
      <c r="C26" s="157"/>
      <c r="D26" s="157"/>
      <c r="E26" s="157"/>
      <c r="F26" s="157"/>
      <c r="G26" s="157"/>
      <c r="H26" s="157"/>
      <c r="I26" s="157"/>
    </row>
    <row r="27" customFormat="false" ht="15.75" hidden="false" customHeight="true" outlineLevel="0" collapsed="false">
      <c r="A27" s="197" t="s">
        <v>415</v>
      </c>
      <c r="B27" s="179" t="s">
        <v>416</v>
      </c>
      <c r="C27" s="157"/>
      <c r="D27" s="157"/>
      <c r="E27" s="157"/>
      <c r="F27" s="157"/>
      <c r="G27" s="157"/>
      <c r="H27" s="157"/>
      <c r="I27" s="157"/>
    </row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mergeCells count="10">
    <mergeCell ref="A1:I1"/>
    <mergeCell ref="A3:I3"/>
    <mergeCell ref="A18:I18"/>
    <mergeCell ref="B19:I19"/>
    <mergeCell ref="B20:I20"/>
    <mergeCell ref="B21:I21"/>
    <mergeCell ref="B22:I22"/>
    <mergeCell ref="B23:I23"/>
    <mergeCell ref="B24:I24"/>
    <mergeCell ref="B25:I2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00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B5" activeCellId="0" sqref="B5"/>
    </sheetView>
  </sheetViews>
  <sheetFormatPr defaultColWidth="14.43359375" defaultRowHeight="15" zeroHeight="false" outlineLevelRow="0" outlineLevelCol="0"/>
  <cols>
    <col collapsed="false" customWidth="true" hidden="false" outlineLevel="0" max="1" min="1" style="1" width="28"/>
    <col collapsed="false" customWidth="true" hidden="false" outlineLevel="0" max="5" min="2" style="1" width="18"/>
    <col collapsed="false" customWidth="true" hidden="false" outlineLevel="0" max="7" min="6" style="1" width="22"/>
    <col collapsed="false" customWidth="true" hidden="false" outlineLevel="0" max="8" min="8" style="1" width="28"/>
    <col collapsed="false" customWidth="true" hidden="false" outlineLevel="0" max="26" min="9" style="1" width="8.71"/>
  </cols>
  <sheetData>
    <row r="1" customFormat="false" ht="30" hidden="false" customHeight="true" outlineLevel="0" collapsed="false">
      <c r="A1" s="40" t="s">
        <v>417</v>
      </c>
      <c r="B1" s="40"/>
      <c r="C1" s="40"/>
      <c r="D1" s="40"/>
      <c r="E1" s="40"/>
      <c r="F1" s="40"/>
      <c r="G1" s="40"/>
      <c r="H1" s="40"/>
    </row>
    <row r="2" customFormat="false" ht="15.75" hidden="false" customHeight="true" outlineLevel="0" collapsed="false">
      <c r="A2" s="41" t="s">
        <v>418</v>
      </c>
      <c r="B2" s="41"/>
      <c r="C2" s="41"/>
      <c r="D2" s="41"/>
      <c r="E2" s="41"/>
      <c r="F2" s="41"/>
      <c r="G2" s="41"/>
      <c r="H2" s="41"/>
    </row>
    <row r="3" customFormat="false" ht="15" hidden="false" customHeight="true" outlineLevel="0" collapsed="false"/>
    <row r="4" customFormat="false" ht="19.5" hidden="false" customHeight="true" outlineLevel="0" collapsed="false">
      <c r="A4" s="156" t="s">
        <v>419</v>
      </c>
      <c r="B4" s="156"/>
      <c r="C4" s="156"/>
      <c r="D4" s="156"/>
      <c r="E4" s="156"/>
      <c r="F4" s="156"/>
      <c r="G4" s="156"/>
      <c r="H4" s="156"/>
    </row>
    <row r="5" customFormat="false" ht="21.75" hidden="false" customHeight="true" outlineLevel="0" collapsed="false">
      <c r="A5" s="42" t="s">
        <v>420</v>
      </c>
      <c r="B5" s="42" t="s">
        <v>421</v>
      </c>
      <c r="C5" s="42" t="s">
        <v>422</v>
      </c>
      <c r="D5" s="42" t="s">
        <v>423</v>
      </c>
      <c r="E5" s="42" t="s">
        <v>424</v>
      </c>
      <c r="F5" s="42" t="s">
        <v>425</v>
      </c>
      <c r="G5" s="42" t="s">
        <v>426</v>
      </c>
      <c r="H5" s="42" t="s">
        <v>427</v>
      </c>
    </row>
    <row r="6" customFormat="false" ht="18" hidden="false" customHeight="true" outlineLevel="0" collapsed="false">
      <c r="A6" s="198" t="s">
        <v>37</v>
      </c>
      <c r="B6" s="199" t="n">
        <v>10</v>
      </c>
      <c r="C6" s="200" t="n">
        <v>0.9</v>
      </c>
      <c r="D6" s="201" t="s">
        <v>428</v>
      </c>
      <c r="E6" s="202" t="n">
        <v>0.9</v>
      </c>
      <c r="F6" s="203" t="n">
        <v>5000000</v>
      </c>
      <c r="G6" s="204" t="n">
        <v>1.5</v>
      </c>
      <c r="H6" s="205" t="n">
        <f aca="false">E6*F6*G6</f>
        <v>6750000</v>
      </c>
    </row>
    <row r="7" customFormat="false" ht="18" hidden="false" customHeight="true" outlineLevel="0" collapsed="false">
      <c r="A7" s="206" t="s">
        <v>44</v>
      </c>
      <c r="B7" s="207" t="n">
        <v>7</v>
      </c>
      <c r="C7" s="208" t="n">
        <v>0.65</v>
      </c>
      <c r="D7" s="209" t="s">
        <v>429</v>
      </c>
      <c r="E7" s="210" t="n">
        <v>0.65</v>
      </c>
      <c r="F7" s="211" t="n">
        <v>1500000</v>
      </c>
      <c r="G7" s="212" t="n">
        <v>1.25</v>
      </c>
      <c r="H7" s="213" t="n">
        <f aca="false">E7*F7*G7</f>
        <v>1218750</v>
      </c>
    </row>
    <row r="8" customFormat="false" ht="18" hidden="false" customHeight="true" outlineLevel="0" collapsed="false">
      <c r="A8" s="214" t="s">
        <v>63</v>
      </c>
      <c r="B8" s="215" t="n">
        <v>4</v>
      </c>
      <c r="C8" s="216" t="n">
        <v>0.35</v>
      </c>
      <c r="D8" s="217" t="s">
        <v>430</v>
      </c>
      <c r="E8" s="218" t="n">
        <v>0.35</v>
      </c>
      <c r="F8" s="219" t="n">
        <v>350000</v>
      </c>
      <c r="G8" s="220" t="n">
        <v>1</v>
      </c>
      <c r="H8" s="221" t="n">
        <f aca="false">E8*F8*G8</f>
        <v>122500</v>
      </c>
    </row>
    <row r="9" customFormat="false" ht="18" hidden="false" customHeight="true" outlineLevel="0" collapsed="false">
      <c r="A9" s="222" t="s">
        <v>165</v>
      </c>
      <c r="B9" s="223" t="n">
        <v>2</v>
      </c>
      <c r="C9" s="224" t="n">
        <v>0.1</v>
      </c>
      <c r="D9" s="225" t="s">
        <v>431</v>
      </c>
      <c r="E9" s="226" t="n">
        <v>0.1</v>
      </c>
      <c r="F9" s="227" t="n">
        <v>75000</v>
      </c>
      <c r="G9" s="228" t="n">
        <v>0.75</v>
      </c>
      <c r="H9" s="229" t="n">
        <f aca="false">E9*F9*G9</f>
        <v>5625</v>
      </c>
    </row>
    <row r="10" customFormat="false" ht="15" hidden="false" customHeight="true" outlineLevel="0" collapsed="false"/>
    <row r="11" customFormat="false" ht="19.5" hidden="false" customHeight="true" outlineLevel="0" collapsed="false">
      <c r="A11" s="170" t="s">
        <v>432</v>
      </c>
      <c r="B11" s="170"/>
      <c r="C11" s="170"/>
      <c r="D11" s="170"/>
    </row>
    <row r="12" customFormat="false" ht="15" hidden="false" customHeight="true" outlineLevel="0" collapsed="false">
      <c r="A12" s="42" t="s">
        <v>433</v>
      </c>
      <c r="B12" s="42" t="s">
        <v>434</v>
      </c>
      <c r="C12" s="42" t="s">
        <v>254</v>
      </c>
    </row>
    <row r="13" customFormat="false" ht="15.75" hidden="false" customHeight="true" outlineLevel="0" collapsed="false">
      <c r="A13" s="230" t="s">
        <v>435</v>
      </c>
      <c r="B13" s="231" t="n">
        <v>850000000</v>
      </c>
    </row>
    <row r="14" customFormat="false" ht="15.75" hidden="false" customHeight="true" outlineLevel="0" collapsed="false">
      <c r="A14" s="230" t="s">
        <v>436</v>
      </c>
      <c r="B14" s="231" t="n">
        <v>25000000</v>
      </c>
    </row>
    <row r="15" customFormat="false" ht="15.75" hidden="false" customHeight="true" outlineLevel="0" collapsed="false">
      <c r="A15" s="230" t="s">
        <v>437</v>
      </c>
      <c r="B15" s="231" t="n">
        <v>12000000</v>
      </c>
    </row>
    <row r="16" customFormat="false" ht="15.75" hidden="false" customHeight="true" outlineLevel="0" collapsed="false">
      <c r="A16" s="230" t="s">
        <v>438</v>
      </c>
      <c r="B16" s="232" t="n">
        <v>72</v>
      </c>
    </row>
    <row r="17" customFormat="false" ht="15.75" hidden="false" customHeight="true" outlineLevel="0" collapsed="false">
      <c r="A17" s="230" t="s">
        <v>439</v>
      </c>
      <c r="B17" s="233" t="n">
        <f aca="false">B13/8760</f>
        <v>97031.9634703196</v>
      </c>
    </row>
    <row r="18" customFormat="false" ht="15.75" hidden="false" customHeight="true" outlineLevel="0" collapsed="false">
      <c r="A18" s="230" t="s">
        <v>440</v>
      </c>
      <c r="B18" s="231" t="n">
        <v>5000000</v>
      </c>
    </row>
    <row r="19" customFormat="false" ht="15.75" hidden="false" customHeight="true" outlineLevel="0" collapsed="false">
      <c r="A19" s="230" t="s">
        <v>441</v>
      </c>
      <c r="B19" s="231" t="n">
        <v>2000000</v>
      </c>
    </row>
    <row r="20" customFormat="false" ht="15.75" hidden="false" customHeight="true" outlineLevel="0" collapsed="false">
      <c r="A20" s="230" t="s">
        <v>442</v>
      </c>
      <c r="B20" s="231" t="n">
        <v>500000</v>
      </c>
    </row>
    <row r="21" customFormat="false" ht="15.75" hidden="false" customHeight="true" outlineLevel="0" collapsed="false"/>
    <row r="22" customFormat="false" ht="19.5" hidden="false" customHeight="true" outlineLevel="0" collapsed="false">
      <c r="A22" s="141" t="s">
        <v>443</v>
      </c>
      <c r="B22" s="141"/>
      <c r="C22" s="141"/>
      <c r="D22" s="141"/>
      <c r="E22" s="141"/>
      <c r="F22" s="141"/>
      <c r="G22" s="141"/>
      <c r="H22" s="141"/>
    </row>
    <row r="23" customFormat="false" ht="15.75" hidden="false" customHeight="true" outlineLevel="0" collapsed="false">
      <c r="A23" s="234" t="s">
        <v>444</v>
      </c>
      <c r="B23" s="179" t="s">
        <v>445</v>
      </c>
      <c r="C23" s="179"/>
      <c r="D23" s="179"/>
      <c r="E23" s="179"/>
      <c r="F23" s="179"/>
      <c r="G23" s="179"/>
      <c r="H23" s="179"/>
    </row>
    <row r="24" customFormat="false" ht="15.75" hidden="false" customHeight="true" outlineLevel="0" collapsed="false">
      <c r="A24" s="234" t="s">
        <v>446</v>
      </c>
      <c r="B24" s="179" t="s">
        <v>447</v>
      </c>
      <c r="C24" s="179"/>
      <c r="D24" s="179"/>
      <c r="E24" s="179"/>
      <c r="F24" s="179"/>
      <c r="G24" s="179"/>
      <c r="H24" s="179"/>
    </row>
    <row r="25" customFormat="false" ht="15.75" hidden="false" customHeight="true" outlineLevel="0" collapsed="false">
      <c r="A25" s="234" t="s">
        <v>448</v>
      </c>
      <c r="B25" s="179" t="s">
        <v>449</v>
      </c>
      <c r="C25" s="179"/>
      <c r="D25" s="179"/>
      <c r="E25" s="179"/>
      <c r="F25" s="179"/>
      <c r="G25" s="179"/>
      <c r="H25" s="179"/>
    </row>
    <row r="26" customFormat="false" ht="15.75" hidden="false" customHeight="true" outlineLevel="0" collapsed="false">
      <c r="A26" s="234" t="s">
        <v>450</v>
      </c>
      <c r="B26" s="179" t="s">
        <v>451</v>
      </c>
      <c r="C26" s="179"/>
      <c r="D26" s="179"/>
      <c r="E26" s="179"/>
      <c r="F26" s="179"/>
      <c r="G26" s="179"/>
      <c r="H26" s="179"/>
    </row>
    <row r="27" customFormat="false" ht="15.75" hidden="false" customHeight="true" outlineLevel="0" collapsed="false">
      <c r="A27" s="234" t="s">
        <v>452</v>
      </c>
      <c r="B27" s="179" t="s">
        <v>453</v>
      </c>
      <c r="C27" s="179"/>
      <c r="D27" s="179"/>
      <c r="E27" s="179"/>
      <c r="F27" s="179"/>
      <c r="G27" s="179"/>
      <c r="H27" s="179"/>
    </row>
    <row r="28" customFormat="false" ht="15.75" hidden="false" customHeight="true" outlineLevel="0" collapsed="false">
      <c r="A28" s="234" t="s">
        <v>454</v>
      </c>
      <c r="B28" s="179" t="s">
        <v>455</v>
      </c>
      <c r="C28" s="179"/>
      <c r="D28" s="179"/>
      <c r="E28" s="179"/>
      <c r="F28" s="179"/>
      <c r="G28" s="179"/>
      <c r="H28" s="179"/>
    </row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mergeCells count="11">
    <mergeCell ref="A1:H1"/>
    <mergeCell ref="A2:H2"/>
    <mergeCell ref="A4:H4"/>
    <mergeCell ref="A11:D11"/>
    <mergeCell ref="A22:H22"/>
    <mergeCell ref="B23:H23"/>
    <mergeCell ref="B24:H24"/>
    <mergeCell ref="B25:H25"/>
    <mergeCell ref="B26:H26"/>
    <mergeCell ref="B27:H27"/>
    <mergeCell ref="B28:H2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2026-04-02T21:20:23Z</dcterms:created>
  <dc:creator>openpyxl</dc:creator>
  <dc:description/>
  <dc:language>en-US</dc:language>
  <cp:lastModifiedBy/>
  <dcterms:modified xsi:type="dcterms:W3CDTF">2026-05-23T19:16:00Z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